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hidePivotFieldList="1"/>
  <xr:revisionPtr revIDLastSave="0" documentId="8_{CE1EE442-C783-4BDD-B48B-0303F9B9C628}" xr6:coauthVersionLast="47" xr6:coauthVersionMax="47" xr10:uidLastSave="{00000000-0000-0000-0000-000000000000}"/>
  <bookViews>
    <workbookView xWindow="0" yWindow="0" windowWidth="0" windowHeight="0" firstSheet="5" activeTab="4" xr2:uid="{00000000-000D-0000-FFFF-FFFF00000000}"/>
  </bookViews>
  <sheets>
    <sheet name="Average of Height" sheetId="3" r:id="rId1"/>
    <sheet name="Average of Biomass" sheetId="4" r:id="rId2"/>
    <sheet name="Average of Leaves" sheetId="5" r:id="rId3"/>
    <sheet name="Average Week" sheetId="6" r:id="rId4"/>
    <sheet name="Dashboard" sheetId="7" r:id="rId5"/>
    <sheet name="Raw Data" sheetId="1" r:id="rId6"/>
    <sheet name="EDA" sheetId="2" r:id="rId7"/>
  </sheets>
  <definedNames>
    <definedName name="_xlnm._FilterDatabase" localSheetId="5" hidden="1">'Raw Data'!$A$1:$G$99</definedName>
  </definedNames>
  <calcPr calcId="191028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1" i="2"/>
  <c r="B10" i="2"/>
  <c r="B9" i="2"/>
  <c r="B8" i="2"/>
  <c r="B7" i="2"/>
  <c r="B5" i="2"/>
  <c r="B6" i="2"/>
  <c r="B4" i="2"/>
  <c r="B3" i="2"/>
  <c r="B2" i="2"/>
</calcChain>
</file>

<file path=xl/sharedStrings.xml><?xml version="1.0" encoding="utf-8"?>
<sst xmlns="http://schemas.openxmlformats.org/spreadsheetml/2006/main" count="340" uniqueCount="130">
  <si>
    <t>Treatment</t>
  </si>
  <si>
    <t>Average of Height_cm</t>
  </si>
  <si>
    <t>Control</t>
  </si>
  <si>
    <t>Pig</t>
  </si>
  <si>
    <t>Poultry</t>
  </si>
  <si>
    <t>Grand Total</t>
  </si>
  <si>
    <t>Average of Biomass_g</t>
  </si>
  <si>
    <t>Average of Leaves</t>
  </si>
  <si>
    <t>Average of Week</t>
  </si>
  <si>
    <t>Plant Growth Analysis Dashboard</t>
  </si>
  <si>
    <t>Plant_ID</t>
  </si>
  <si>
    <t>Height_cm</t>
  </si>
  <si>
    <t>Leaves</t>
  </si>
  <si>
    <t>Biomass_g</t>
  </si>
  <si>
    <t>Germinated</t>
  </si>
  <si>
    <t>Week</t>
  </si>
  <si>
    <t>P001</t>
  </si>
  <si>
    <t>No</t>
  </si>
  <si>
    <t>P002</t>
  </si>
  <si>
    <t>Yes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</si>
  <si>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</si>
  <si>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</si>
  <si>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</si>
  <si>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</si>
  <si>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</si>
  <si>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</si>
  <si>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</si>
  <si>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</si>
  <si>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</si>
  <si>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</si>
  <si>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</si>
  <si>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</si>
  <si>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</si>
  <si>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</si>
  <si>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</si>
  <si>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</si>
  <si>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</si>
  <si>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</si>
  <si>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</si>
  <si>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</si>
  <si>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</si>
  <si>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</si>
  <si>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</si>
  <si>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</si>
  <si>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</si>
  <si>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</si>
  <si>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</si>
  <si>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</si>
  <si>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</si>
  <si>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</si>
  <si>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</si>
  <si>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</si>
  <si>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</si>
  <si>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</si>
  <si>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</si>
  <si>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</si>
  <si>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</si>
  <si>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</si>
  <si>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</si>
  <si>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</si>
  <si>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</si>
  <si>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</si>
  <si>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</si>
  <si>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</si>
  <si>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</si>
  <si>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</si>
  <si>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</si>
  <si>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</si>
  <si>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</si>
  <si>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</si>
  <si>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</si>
  <si>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</si>
  <si>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</si>
  <si>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</si>
  <si>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</si>
  <si>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</si>
  <si>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</si>
  <si>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</si>
  <si>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</si>
  <si>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</si>
  <si>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</si>
  <si>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</si>
  <si>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</si>
  <si>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</si>
  <si>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</si>
  <si>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</si>
  <si>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</si>
  <si>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</si>
  <si>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</si>
  <si>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</si>
  <si>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</si>
  <si>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</si>
  <si>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</si>
  <si>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</si>
  <si>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</si>
  <si>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</si>
  <si>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</si>
  <si>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</si>
  <si>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</si>
  <si>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</si>
  <si>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</si>
  <si>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</si>
  <si>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</si>
  <si>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</si>
  <si>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</si>
  <si>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</si>
  <si>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</si>
  <si>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</si>
  <si>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</si>
  <si>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</si>
  <si>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</si>
  <si>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</si>
  <si>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</si>
  <si>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</si>
  <si>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</si>
  <si>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</si>
  <si>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METRICS</t>
  </si>
  <si>
    <t>SUMMARY STATISTICS</t>
  </si>
  <si>
    <t>Number of Plants</t>
  </si>
  <si>
    <t>Average Height</t>
  </si>
  <si>
    <t>Maximum Height</t>
  </si>
  <si>
    <t>Minimum Height</t>
  </si>
  <si>
    <t>Average Biomass</t>
  </si>
  <si>
    <t>Maximum Biomass</t>
  </si>
  <si>
    <t>Average Leaves</t>
  </si>
  <si>
    <t>Germinated(Yes)</t>
  </si>
  <si>
    <t>Not Germinated</t>
  </si>
  <si>
    <t>Pig Treatment</t>
  </si>
  <si>
    <t>Poultry Treatment</t>
  </si>
  <si>
    <t>Control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</si>
</sst>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b/>
      <sz val="14"/>
      <color theme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rgb="FF000000"/>
      <name val="Calibri"/>
      <scheme val="minor"/>
    </font>
    <font>
      <b/>
      <sz val="14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0.0"/>
    </dxf>
    <dxf>
      <numFmt numFmtId="164" formatCode="0.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sz val="14"/>
      </font>
      <alignment horizontal="center"/>
    </dxf>
    <dxf>
      <numFmt numFmtId="164" formatCode="0.0"/>
    </dxf>
    <dxf>
      <numFmt numFmtId="164" formatCode="0.0"/>
    </dxf>
    <dxf>
      <numFmt numFmtId="164" formatCode="0.0"/>
    </dxf>
    <dxf>
      <numFmt numFmtId="2" formatCode="0.00"/>
    </dxf>
    <dxf>
      <numFmt numFmtId="2" formatCode="0.00"/>
    </dxf>
    <dxf>
      <numFmt numFmtId="164" formatCode="0.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[Plant_Growth_Analysis.xlsx]Average of Height!PivotTable1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Plant Height (cm) by Treatment</a:t>
            </a:r>
          </a:p>
        </c:rich>
      </c:tx>
      <c:layout>
        <c:manualLayout>
          <c:xMode val="edge"/>
          <c:yMode val="edge"/>
          <c:x val="0.34019327330848259"/>
          <c:y val="4.7457941804884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of Height'!$B$3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of Height'!$A$4:$A$7</c:f>
              <c:strCache>
                <c:ptCount val="3"/>
                <c:pt idx="0">
                  <c:v>Control</c:v>
                </c:pt>
                <c:pt idx="1">
                  <c:v>Pig</c:v>
                </c:pt>
                <c:pt idx="2">
                  <c:v>Poultry</c:v>
                </c:pt>
              </c:strCache>
            </c:strRef>
          </c:cat>
          <c:val>
            <c:numRef>
              <c:f>'Average of Height'!$B$4:$B$7</c:f>
              <c:numCache>
                <c:formatCode>0.0</c:formatCode>
                <c:ptCount val="3"/>
                <c:pt idx="0">
                  <c:v>13.511111111111111</c:v>
                </c:pt>
                <c:pt idx="1">
                  <c:v>16.077500000000001</c:v>
                </c:pt>
                <c:pt idx="2">
                  <c:v>17.875862068965517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5-4998-9DB9-871D3F2E2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9957000"/>
        <c:axId val="1079959048"/>
      </c:barChart>
      <c:catAx>
        <c:axId val="1079957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Treatment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959048"/>
        <c:crosses val="autoZero"/>
        <c:auto val="1"/>
        <c:lblAlgn val="ctr"/>
        <c:lblOffset val="100"/>
        <c:noMultiLvlLbl val="0"/>
      </c:catAx>
      <c:valAx>
        <c:axId val="107995904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Height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crossAx val="1079957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[Plant_Growth_Analysis.xlsx]Average of Biomass!PivotTable2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Biomass (g) by Treatment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of Biomass'!$B$3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of Biomass'!$A$4:$A$7</c:f>
              <c:strCache>
                <c:ptCount val="3"/>
                <c:pt idx="0">
                  <c:v>Control</c:v>
                </c:pt>
                <c:pt idx="1">
                  <c:v>Pig</c:v>
                </c:pt>
                <c:pt idx="2">
                  <c:v>Poultry</c:v>
                </c:pt>
              </c:strCache>
            </c:strRef>
          </c:cat>
          <c:val>
            <c:numRef>
              <c:f>'Average of Biomass'!$B$4:$B$7</c:f>
              <c:numCache>
                <c:formatCode>0.0</c:formatCode>
                <c:ptCount val="3"/>
                <c:pt idx="0">
                  <c:v>3.5148148148148146</c:v>
                </c:pt>
                <c:pt idx="1">
                  <c:v>4.0225000000000009</c:v>
                </c:pt>
                <c:pt idx="2">
                  <c:v>4.5064516129032262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1-467E-A5D6-346FF0287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8806280"/>
        <c:axId val="1018808328"/>
      </c:barChart>
      <c:catAx>
        <c:axId val="1018806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Treatment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808328"/>
        <c:crosses val="autoZero"/>
        <c:auto val="1"/>
        <c:lblAlgn val="ctr"/>
        <c:lblOffset val="100"/>
        <c:noMultiLvlLbl val="0"/>
      </c:catAx>
      <c:valAx>
        <c:axId val="101880832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of Biomass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crossAx val="1018806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[Plant_Growth_Analysis.xlsx]Average of Leaves!PivotTable3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Leaves by Treatment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of Leaves'!$B$3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of Leaves'!$A$4:$A$7</c:f>
              <c:strCache>
                <c:ptCount val="3"/>
                <c:pt idx="0">
                  <c:v>Control</c:v>
                </c:pt>
                <c:pt idx="1">
                  <c:v>Pig</c:v>
                </c:pt>
                <c:pt idx="2">
                  <c:v>Poultry</c:v>
                </c:pt>
              </c:strCache>
            </c:strRef>
          </c:cat>
          <c:val>
            <c:numRef>
              <c:f>'Average of Leaves'!$B$4:$B$7</c:f>
              <c:numCache>
                <c:formatCode>0.0</c:formatCode>
                <c:ptCount val="3"/>
                <c:pt idx="0">
                  <c:v>3.925925925925926</c:v>
                </c:pt>
                <c:pt idx="1">
                  <c:v>4.95</c:v>
                </c:pt>
                <c:pt idx="2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0-4B33-931A-EC6554E86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9823624"/>
        <c:axId val="1059826184"/>
      </c:barChart>
      <c:catAx>
        <c:axId val="1059823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Treatment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826184"/>
        <c:crosses val="autoZero"/>
        <c:auto val="1"/>
        <c:lblAlgn val="ctr"/>
        <c:lblOffset val="100"/>
        <c:noMultiLvlLbl val="0"/>
      </c:catAx>
      <c:valAx>
        <c:axId val="105982618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of Leaves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crossAx val="1059823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[Plant_Growth_Analysis.xlsx]Average Week!PivotTable4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Growth Week by Treatment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Week'!$B$3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Week'!$A$4:$A$7</c:f>
              <c:strCache>
                <c:ptCount val="3"/>
                <c:pt idx="0">
                  <c:v>Control</c:v>
                </c:pt>
                <c:pt idx="1">
                  <c:v>Pig</c:v>
                </c:pt>
                <c:pt idx="2">
                  <c:v>Poultry</c:v>
                </c:pt>
              </c:strCache>
            </c:strRef>
          </c:cat>
          <c:val>
            <c:numRef>
              <c:f>'Average Week'!$B$4:$B$7</c:f>
              <c:numCache>
                <c:formatCode>0.0</c:formatCode>
                <c:ptCount val="3"/>
                <c:pt idx="0">
                  <c:v>6.0370370370370372</c:v>
                </c:pt>
                <c:pt idx="1">
                  <c:v>5.85</c:v>
                </c:pt>
                <c:pt idx="2">
                  <c:v>6.225806451612903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2-4399-9870-0AA9CCA02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8946184"/>
        <c:axId val="1016405000"/>
      </c:barChart>
      <c:catAx>
        <c:axId val="968946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Treatment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05000"/>
        <c:crosses val="autoZero"/>
        <c:auto val="1"/>
        <c:lblAlgn val="ctr"/>
        <c:lblOffset val="100"/>
        <c:noMultiLvlLbl val="0"/>
      </c:catAx>
      <c:valAx>
        <c:axId val="10164050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crossAx val="968946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[Plant_Growth_Analysis.xlsx]Average of Height!PivotTable1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Plant Height (cm) by Treatment</a:t>
            </a:r>
          </a:p>
        </c:rich>
      </c:tx>
      <c:layout>
        <c:manualLayout>
          <c:xMode val="edge"/>
          <c:yMode val="edge"/>
          <c:x val="0.2477347197153778"/>
          <c:y val="4.1400649187215505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F622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of Height'!$B$3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6228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of Height'!$A$4:$A$7</c:f>
              <c:strCache>
                <c:ptCount val="3"/>
                <c:pt idx="0">
                  <c:v>Control</c:v>
                </c:pt>
                <c:pt idx="1">
                  <c:v>Pig</c:v>
                </c:pt>
                <c:pt idx="2">
                  <c:v>Poultry</c:v>
                </c:pt>
              </c:strCache>
            </c:strRef>
          </c:cat>
          <c:val>
            <c:numRef>
              <c:f>'Average of Height'!$B$4:$B$7</c:f>
              <c:numCache>
                <c:formatCode>0.0</c:formatCode>
                <c:ptCount val="3"/>
                <c:pt idx="0">
                  <c:v>13.511111111111111</c:v>
                </c:pt>
                <c:pt idx="1">
                  <c:v>16.077500000000001</c:v>
                </c:pt>
                <c:pt idx="2">
                  <c:v>17.875862068965517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0-4B62-85A1-02BB3BC94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9957000"/>
        <c:axId val="1079959048"/>
      </c:barChart>
      <c:catAx>
        <c:axId val="1079957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959048"/>
        <c:crosses val="autoZero"/>
        <c:auto val="1"/>
        <c:lblAlgn val="ctr"/>
        <c:lblOffset val="100"/>
        <c:noMultiLvlLbl val="0"/>
      </c:catAx>
      <c:valAx>
        <c:axId val="1079959048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079957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[Plant_Growth_Analysis.xlsx]Average of Biomass!PivotTable2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Biomass (g) by Treatment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F622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of Biomass'!$B$3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62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of Biomass'!$A$4:$A$7</c:f>
              <c:strCache>
                <c:ptCount val="3"/>
                <c:pt idx="0">
                  <c:v>Control</c:v>
                </c:pt>
                <c:pt idx="1">
                  <c:v>Pig</c:v>
                </c:pt>
                <c:pt idx="2">
                  <c:v>Poultry</c:v>
                </c:pt>
              </c:strCache>
            </c:strRef>
          </c:cat>
          <c:val>
            <c:numRef>
              <c:f>'Average of Biomass'!$B$4:$B$7</c:f>
              <c:numCache>
                <c:formatCode>0.0</c:formatCode>
                <c:ptCount val="3"/>
                <c:pt idx="0">
                  <c:v>3.5148148148148146</c:v>
                </c:pt>
                <c:pt idx="1">
                  <c:v>4.0225000000000009</c:v>
                </c:pt>
                <c:pt idx="2">
                  <c:v>4.5064516129032262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7-45B9-89E0-F13829054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8806280"/>
        <c:axId val="1018808328"/>
      </c:barChart>
      <c:catAx>
        <c:axId val="1018806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808328"/>
        <c:crosses val="autoZero"/>
        <c:auto val="1"/>
        <c:lblAlgn val="ctr"/>
        <c:lblOffset val="100"/>
        <c:noMultiLvlLbl val="0"/>
      </c:catAx>
      <c:valAx>
        <c:axId val="1018808328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018806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[Plant_Growth_Analysis.xlsx]Average of Leaves!PivotTable3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Number of Leaves by Treatment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F622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of Leaves'!$B$3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62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of Leaves'!$A$4:$A$7</c:f>
              <c:strCache>
                <c:ptCount val="3"/>
                <c:pt idx="0">
                  <c:v>Control</c:v>
                </c:pt>
                <c:pt idx="1">
                  <c:v>Pig</c:v>
                </c:pt>
                <c:pt idx="2">
                  <c:v>Poultry</c:v>
                </c:pt>
              </c:strCache>
            </c:strRef>
          </c:cat>
          <c:val>
            <c:numRef>
              <c:f>'Average of Leaves'!$B$4:$B$7</c:f>
              <c:numCache>
                <c:formatCode>0.0</c:formatCode>
                <c:ptCount val="3"/>
                <c:pt idx="0">
                  <c:v>3.925925925925926</c:v>
                </c:pt>
                <c:pt idx="1">
                  <c:v>4.95</c:v>
                </c:pt>
                <c:pt idx="2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F-4C36-A2C5-F20A2F4BA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9823624"/>
        <c:axId val="1059826184"/>
      </c:barChart>
      <c:catAx>
        <c:axId val="1059823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826184"/>
        <c:crosses val="autoZero"/>
        <c:auto val="1"/>
        <c:lblAlgn val="ctr"/>
        <c:lblOffset val="100"/>
        <c:noMultiLvlLbl val="0"/>
      </c:catAx>
      <c:valAx>
        <c:axId val="105982618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059823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[Plant_Growth_Analysis.xlsx]Average Week!PivotTable4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Growth Week by Treatment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F622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Week'!$B$3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62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Week'!$A$4:$A$7</c:f>
              <c:strCache>
                <c:ptCount val="3"/>
                <c:pt idx="0">
                  <c:v>Control</c:v>
                </c:pt>
                <c:pt idx="1">
                  <c:v>Pig</c:v>
                </c:pt>
                <c:pt idx="2">
                  <c:v>Poultry</c:v>
                </c:pt>
              </c:strCache>
            </c:strRef>
          </c:cat>
          <c:val>
            <c:numRef>
              <c:f>'Average Week'!$B$4:$B$7</c:f>
              <c:numCache>
                <c:formatCode>0.0</c:formatCode>
                <c:ptCount val="3"/>
                <c:pt idx="0">
                  <c:v>6.0370370370370372</c:v>
                </c:pt>
                <c:pt idx="1">
                  <c:v>5.85</c:v>
                </c:pt>
                <c:pt idx="2">
                  <c:v>6.225806451612903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0-4F87-8F63-43A0A37A1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8946184"/>
        <c:axId val="1016405000"/>
      </c:barChart>
      <c:catAx>
        <c:axId val="96894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05000"/>
        <c:crosses val="autoZero"/>
        <c:auto val="1"/>
        <c:lblAlgn val="ctr"/>
        <c:lblOffset val="100"/>
        <c:noMultiLvlLbl val="0"/>
      </c:catAx>
      <c:valAx>
        <c:axId val="1016405000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968946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BB-4470-8AC1-47540C2707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BB-4470-8AC1-47540C2707B7}"/>
              </c:ext>
            </c:extLst>
          </c:dPt>
          <c:cat>
            <c:strRef>
              <c:f>EDA!$A$9:$A$10</c:f>
              <c:strCache>
                <c:ptCount val="2"/>
                <c:pt idx="0">
                  <c:v>Germinated(Yes)</c:v>
                </c:pt>
                <c:pt idx="1">
                  <c:v>Not Germinated</c:v>
                </c:pt>
              </c:strCache>
            </c:strRef>
          </c:cat>
          <c:val>
            <c:numRef>
              <c:f>EDA!$B$9:$B$10</c:f>
              <c:numCache>
                <c:formatCode>General</c:formatCode>
                <c:ptCount val="2"/>
                <c:pt idx="0">
                  <c:v>61</c:v>
                </c:pt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BB-4470-8AC1-47540C270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Germination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6228"/>
            </a:solidFill>
          </c:spPr>
          <c:dPt>
            <c:idx val="0"/>
            <c:bubble3D val="0"/>
            <c:spPr>
              <a:solidFill>
                <a:srgbClr val="4F62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D5-47C2-8C75-D08A9F14A14D}"/>
              </c:ext>
            </c:extLst>
          </c:dPt>
          <c:dPt>
            <c:idx val="1"/>
            <c:bubble3D val="0"/>
            <c:spPr>
              <a:solidFill>
                <a:srgbClr val="A6A6A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D5-47C2-8C75-D08A9F14A1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EDA!$A$9:$A$10</c:f>
              <c:strCache>
                <c:ptCount val="2"/>
                <c:pt idx="0">
                  <c:v>Germinated(Yes)</c:v>
                </c:pt>
                <c:pt idx="1">
                  <c:v>Not Germinated</c:v>
                </c:pt>
              </c:strCache>
            </c:strRef>
          </c:cat>
          <c:val>
            <c:numRef>
              <c:f>EDA!$B$9:$B$10</c:f>
              <c:numCache>
                <c:formatCode>General</c:formatCode>
                <c:ptCount val="2"/>
                <c:pt idx="0">
                  <c:v>61</c:v>
                </c:pt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D5-47C2-8C75-D08A9F14A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6228"/>
            </a:solidFill>
          </c:spPr>
          <c:dPt>
            <c:idx val="0"/>
            <c:bubble3D val="0"/>
            <c:spPr>
              <a:solidFill>
                <a:srgbClr val="4F62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E9-43E7-A40C-07469809DFED}"/>
              </c:ext>
            </c:extLst>
          </c:dPt>
          <c:dPt>
            <c:idx val="1"/>
            <c:bubble3D val="0"/>
            <c:spPr>
              <a:solidFill>
                <a:srgbClr val="A6A6A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59-43D4-980E-7182142769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EDA!$A$9:$A$10</c:f>
              <c:strCache>
                <c:ptCount val="2"/>
                <c:pt idx="0">
                  <c:v>Germinated(Yes)</c:v>
                </c:pt>
                <c:pt idx="1">
                  <c:v>Not Germinated</c:v>
                </c:pt>
              </c:strCache>
            </c:strRef>
          </c:cat>
          <c:val>
            <c:numRef>
              <c:f>EDA!$B$9:$B$10</c:f>
              <c:numCache>
                <c:formatCode>General</c:formatCode>
                <c:ptCount val="2"/>
                <c:pt idx="0">
                  <c:v>61</c:v>
                </c:pt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59-43D4-980E-718214276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1</xdr:row>
      <xdr:rowOff>57150</xdr:rowOff>
    </xdr:from>
    <xdr:to>
      <xdr:col>17</xdr:col>
      <xdr:colOff>104775</xdr:colOff>
      <xdr:row>28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56C0AD-2B6F-FB49-2A25-C889793BF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0</xdr:row>
      <xdr:rowOff>95250</xdr:rowOff>
    </xdr:from>
    <xdr:to>
      <xdr:col>17</xdr:col>
      <xdr:colOff>409575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5C5697-9A9C-9CD3-5A7D-1CFE3F379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161925</xdr:rowOff>
    </xdr:from>
    <xdr:to>
      <xdr:col>11</xdr:col>
      <xdr:colOff>0</xdr:colOff>
      <xdr:row>23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430FD2-3799-7343-5ACE-1FD2C2E32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1</xdr:row>
      <xdr:rowOff>152400</xdr:rowOff>
    </xdr:from>
    <xdr:to>
      <xdr:col>16</xdr:col>
      <xdr:colOff>361950</xdr:colOff>
      <xdr:row>24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6417CE-AD79-2B42-AE27-C4A21670C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</xdr:row>
      <xdr:rowOff>38100</xdr:rowOff>
    </xdr:from>
    <xdr:to>
      <xdr:col>8</xdr:col>
      <xdr:colOff>561975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2F5D36-F60A-4866-ABE5-B53B169DB0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38100</xdr:colOff>
      <xdr:row>1</xdr:row>
      <xdr:rowOff>38100</xdr:rowOff>
    </xdr:from>
    <xdr:to>
      <xdr:col>24</xdr:col>
      <xdr:colOff>400050</xdr:colOff>
      <xdr:row>17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421B76-9AB5-4A3F-8E12-941530FEF599}"/>
            </a:ext>
            <a:ext uri="{147F2762-F138-4A5C-976F-8EAC2B608ADB}">
              <a16:predDERef xmlns:a16="http://schemas.microsoft.com/office/drawing/2014/main" pred="{6A2F5D36-F60A-4866-ABE5-B53B169DB0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209550</xdr:colOff>
      <xdr:row>17</xdr:row>
      <xdr:rowOff>161925</xdr:rowOff>
    </xdr:from>
    <xdr:to>
      <xdr:col>8</xdr:col>
      <xdr:colOff>571500</xdr:colOff>
      <xdr:row>33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A8E008-CA5B-4A57-86DA-C9AE39731611}"/>
            </a:ext>
            <a:ext uri="{147F2762-F138-4A5C-976F-8EAC2B608ADB}">
              <a16:predDERef xmlns:a16="http://schemas.microsoft.com/office/drawing/2014/main" pred="{B1421B76-9AB5-4A3F-8E12-941530FEF5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47625</xdr:colOff>
      <xdr:row>17</xdr:row>
      <xdr:rowOff>104775</xdr:rowOff>
    </xdr:from>
    <xdr:to>
      <xdr:col>24</xdr:col>
      <xdr:colOff>400050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BCA4B4-D85C-441C-A705-8FC4CABEBD15}"/>
            </a:ext>
            <a:ext uri="{147F2762-F138-4A5C-976F-8EAC2B608ADB}">
              <a16:predDERef xmlns:a16="http://schemas.microsoft.com/office/drawing/2014/main" pred="{0AA8E008-CA5B-4A57-86DA-C9AE39731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0</xdr:row>
      <xdr:rowOff>0</xdr:rowOff>
    </xdr:from>
    <xdr:to>
      <xdr:col>32</xdr:col>
      <xdr:colOff>304800</xdr:colOff>
      <xdr:row>13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E0F707E-2DDD-47EF-A57B-4229942461AD}"/>
            </a:ext>
            <a:ext uri="{147F2762-F138-4A5C-976F-8EAC2B608ADB}">
              <a16:predDERef xmlns:a16="http://schemas.microsoft.com/office/drawing/2014/main" pred="{B4BCA4B4-D85C-441C-A705-8FC4CABEBD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571500</xdr:colOff>
      <xdr:row>1</xdr:row>
      <xdr:rowOff>38100</xdr:rowOff>
    </xdr:from>
    <xdr:to>
      <xdr:col>16</xdr:col>
      <xdr:colOff>47625</xdr:colOff>
      <xdr:row>30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00FB0D4-CD64-42CE-B557-F61645371504}"/>
            </a:ext>
            <a:ext uri="{147F2762-F138-4A5C-976F-8EAC2B608ADB}">
              <a16:predDERef xmlns:a16="http://schemas.microsoft.com/office/drawing/2014/main" pred="{8E0F707E-2DDD-47EF-A57B-4229942461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323850</xdr:colOff>
      <xdr:row>0</xdr:row>
      <xdr:rowOff>171450</xdr:rowOff>
    </xdr:from>
    <xdr:to>
      <xdr:col>22</xdr:col>
      <xdr:colOff>85725</xdr:colOff>
      <xdr:row>23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919F40-0F62-1AAC-E76C-ABE792A33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3.49295821759" createdVersion="8" refreshedVersion="8" minRefreshableVersion="3" recordCount="101" xr:uid="{A6745220-BE8F-489A-89A1-1608467460EF}">
  <cacheSource type="worksheet">
    <worksheetSource ref="A1:G1048576" sheet="Raw Data"/>
  </cacheSource>
  <cacheFields count="7">
    <cacheField name="Plant_ID" numFmtId="0">
      <sharedItems containsBlank="1"/>
    </cacheField>
    <cacheField name="Treatment" numFmtId="0">
      <sharedItems containsBlank="1" count="4">
        <s v="Pig"/>
        <s v="Poultry"/>
        <s v="Control"/>
        <m/>
      </sharedItems>
    </cacheField>
    <cacheField name="Height_cm" numFmtId="0">
      <sharedItems containsString="0" containsBlank="1" containsNumber="1" minValue="10.199999999999999" maxValue="20.7"/>
    </cacheField>
    <cacheField name="Leaves" numFmtId="0">
      <sharedItems containsString="0" containsBlank="1" containsNumber="1" containsInteger="1" minValue="3" maxValue="10"/>
    </cacheField>
    <cacheField name="Biomass_g" numFmtId="0">
      <sharedItems containsString="0" containsBlank="1" containsNumber="1" minValue="1.2" maxValue="5.3"/>
    </cacheField>
    <cacheField name="Germinated" numFmtId="0">
      <sharedItems containsBlank="1"/>
    </cacheField>
    <cacheField name="Week" numFmtId="0">
      <sharedItems containsString="0" containsBlank="1" containsNumber="1" containsInteger="1" minValue="4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3.49799502315" createdVersion="8" refreshedVersion="8" minRefreshableVersion="3" recordCount="98" xr:uid="{0CDC97D6-79E3-44B9-BAD9-CB20BD37E3DE}">
  <cacheSource type="worksheet">
    <worksheetSource name="PlantData"/>
  </cacheSource>
  <cacheFields count="7">
    <cacheField name="Plant_ID" numFmtId="0">
      <sharedItems/>
    </cacheField>
    <cacheField name="Treatment" numFmtId="0">
      <sharedItems count="4">
        <s v="Pig"/>
        <s v="Poultry"/>
        <s v="Control"/>
        <s v="Missing" u="1"/>
      </sharedItems>
    </cacheField>
    <cacheField name="Height_cm" numFmtId="164">
      <sharedItems containsString="0" containsBlank="1" containsNumber="1" minValue="10.199999999999999" maxValue="20.7"/>
    </cacheField>
    <cacheField name="Leaves" numFmtId="0">
      <sharedItems containsString="0" containsBlank="1" containsNumber="1" containsInteger="1" minValue="3" maxValue="10"/>
    </cacheField>
    <cacheField name="Biomass_g" numFmtId="164">
      <sharedItems containsSemiMixedTypes="0" containsString="0" containsNumber="1" minValue="1.2" maxValue="5.3"/>
    </cacheField>
    <cacheField name="Germinated" numFmtId="0">
      <sharedItems/>
    </cacheField>
    <cacheField name="Week" numFmtId="0">
      <sharedItems containsSemiMixedTypes="0" containsString="0" containsNumber="1" containsInteger="1" minValue="4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P001"/>
    <x v="0"/>
    <n v="17.899999999999999"/>
    <n v="5"/>
    <n v="4.9000000000000004"/>
    <s v="No"/>
    <n v="7"/>
  </r>
  <r>
    <s v="P002"/>
    <x v="1"/>
    <n v="15.4"/>
    <n v="5"/>
    <n v="4"/>
    <s v="Yes"/>
    <n v="6"/>
  </r>
  <r>
    <s v="P003"/>
    <x v="1"/>
    <m/>
    <n v="5"/>
    <n v="4"/>
    <s v="No"/>
    <n v="6"/>
  </r>
  <r>
    <s v="P004"/>
    <x v="0"/>
    <n v="14.9"/>
    <n v="6"/>
    <n v="4.3"/>
    <s v="No"/>
    <n v="5"/>
  </r>
  <r>
    <s v="P005"/>
    <x v="0"/>
    <n v="14.7"/>
    <n v="6"/>
    <n v="3.8"/>
    <s v="Yes"/>
    <n v="5"/>
  </r>
  <r>
    <s v="P006"/>
    <x v="1"/>
    <n v="18.600000000000001"/>
    <m/>
    <n v="4.8"/>
    <s v="No"/>
    <n v="6"/>
  </r>
  <r>
    <s v="P007"/>
    <x v="0"/>
    <n v="14.5"/>
    <n v="4"/>
    <n v="3.3"/>
    <s v="Yes"/>
    <n v="8"/>
  </r>
  <r>
    <s v="P008"/>
    <x v="1"/>
    <n v="20.2"/>
    <n v="5"/>
    <n v="5.2"/>
    <s v="Yes"/>
    <n v="4"/>
  </r>
  <r>
    <s v="P009"/>
    <x v="1"/>
    <n v="19.399999999999999"/>
    <n v="5"/>
    <n v="4.8"/>
    <s v="No"/>
    <n v="4"/>
  </r>
  <r>
    <s v="P010"/>
    <x v="0"/>
    <n v="15.5"/>
    <n v="5"/>
    <n v="3.9"/>
    <s v="Yes"/>
    <n v="7"/>
  </r>
  <r>
    <s v="P011"/>
    <x v="0"/>
    <n v="13"/>
    <n v="3"/>
    <n v="3.1"/>
    <s v="Yes"/>
    <n v="4"/>
  </r>
  <r>
    <s v="P012"/>
    <x v="0"/>
    <n v="13.7"/>
    <n v="4"/>
    <n v="3.6"/>
    <s v="Yes"/>
    <n v="6"/>
  </r>
  <r>
    <s v="P013"/>
    <x v="2"/>
    <n v="16"/>
    <n v="4"/>
    <n v="3.3"/>
    <s v="No"/>
    <n v="7"/>
  </r>
  <r>
    <s v="P014"/>
    <x v="1"/>
    <n v="17.100000000000001"/>
    <n v="7"/>
    <n v="4.8"/>
    <s v="Yes"/>
    <n v="4"/>
  </r>
  <r>
    <s v="P015"/>
    <x v="0"/>
    <n v="14.5"/>
    <n v="5"/>
    <n v="3.4"/>
    <s v="No"/>
    <n v="6"/>
  </r>
  <r>
    <s v="P017"/>
    <x v="1"/>
    <n v="18.7"/>
    <n v="6"/>
    <n v="4.5999999999999996"/>
    <s v="Yes"/>
    <n v="5"/>
  </r>
  <r>
    <s v="P018"/>
    <x v="2"/>
    <n v="13.2"/>
    <n v="6"/>
    <n v="3.7"/>
    <s v="Yes"/>
    <n v="5"/>
  </r>
  <r>
    <s v="P019"/>
    <x v="1"/>
    <n v="17.899999999999999"/>
    <n v="7"/>
    <n v="4.8"/>
    <s v="No"/>
    <n v="8"/>
  </r>
  <r>
    <s v="P020"/>
    <x v="0"/>
    <n v="17.7"/>
    <n v="4"/>
    <n v="4.4000000000000004"/>
    <s v="No"/>
    <n v="6"/>
  </r>
  <r>
    <s v="P021"/>
    <x v="0"/>
    <n v="14.6"/>
    <n v="3"/>
    <n v="4.5"/>
    <s v="Yes"/>
    <n v="8"/>
  </r>
  <r>
    <s v="P022"/>
    <x v="0"/>
    <n v="14.9"/>
    <n v="7"/>
    <n v="4.0999999999999996"/>
    <s v="No"/>
    <n v="5"/>
  </r>
  <r>
    <s v="P023"/>
    <x v="2"/>
    <n v="15.5"/>
    <n v="5"/>
    <n v="4.0999999999999996"/>
    <s v="Yes"/>
    <n v="7"/>
  </r>
  <r>
    <s v="P024"/>
    <x v="0"/>
    <n v="15.3"/>
    <n v="5"/>
    <n v="3.9"/>
    <s v="No"/>
    <n v="6"/>
  </r>
  <r>
    <s v="P025"/>
    <x v="2"/>
    <n v="13.9"/>
    <n v="3"/>
    <n v="3.4"/>
    <s v="Yes"/>
    <n v="6"/>
  </r>
  <r>
    <s v="P027"/>
    <x v="2"/>
    <n v="16.5"/>
    <n v="3"/>
    <n v="4.7"/>
    <s v="Yes"/>
    <n v="4"/>
  </r>
  <r>
    <s v="P028"/>
    <x v="0"/>
    <n v="14.2"/>
    <n v="5"/>
    <n v="3.9"/>
    <s v="No"/>
    <n v="8"/>
  </r>
  <r>
    <s v="P029"/>
    <x v="2"/>
    <n v="13.5"/>
    <n v="3"/>
    <n v="3.8"/>
    <s v="Yes"/>
    <n v="6"/>
  </r>
  <r>
    <s v="P030"/>
    <x v="2"/>
    <n v="10.9"/>
    <n v="3"/>
    <n v="2.4"/>
    <s v="No"/>
    <n v="4"/>
  </r>
  <r>
    <s v="P031"/>
    <x v="1"/>
    <n v="19.100000000000001"/>
    <n v="7"/>
    <n v="4.8"/>
    <s v="Yes"/>
    <n v="7"/>
  </r>
  <r>
    <s v="P032"/>
    <x v="0"/>
    <n v="17.3"/>
    <n v="6"/>
    <n v="4.7"/>
    <s v="Yes"/>
    <n v="4"/>
  </r>
  <r>
    <s v="P033"/>
    <x v="1"/>
    <n v="16.8"/>
    <n v="6"/>
    <n v="4.2"/>
    <s v="Yes"/>
    <n v="6"/>
  </r>
  <r>
    <s v="P034"/>
    <x v="0"/>
    <n v="17.100000000000001"/>
    <n v="4"/>
    <n v="4.3"/>
    <s v="Yes"/>
    <n v="8"/>
  </r>
  <r>
    <s v="P035"/>
    <x v="2"/>
    <n v="10.199999999999999"/>
    <n v="5"/>
    <n v="2.6"/>
    <s v="No"/>
    <n v="5"/>
  </r>
  <r>
    <s v="P036"/>
    <x v="1"/>
    <n v="18.100000000000001"/>
    <n v="6"/>
    <n v="4.9000000000000004"/>
    <s v="Yes"/>
    <n v="9"/>
  </r>
  <r>
    <s v="P037"/>
    <x v="2"/>
    <n v="13.2"/>
    <n v="4"/>
    <n v="3.5"/>
    <s v="No"/>
    <n v="7"/>
  </r>
  <r>
    <s v="P038"/>
    <x v="2"/>
    <n v="16.7"/>
    <n v="4"/>
    <n v="4.0999999999999996"/>
    <s v="Yes"/>
    <n v="8"/>
  </r>
  <r>
    <s v="P039"/>
    <x v="0"/>
    <n v="17"/>
    <n v="4"/>
    <n v="4.7"/>
    <s v="Yes"/>
    <n v="4"/>
  </r>
  <r>
    <s v="P040"/>
    <x v="1"/>
    <n v="16.899999999999999"/>
    <n v="5"/>
    <n v="3.9"/>
    <s v="No"/>
    <n v="4"/>
  </r>
  <r>
    <s v="P041"/>
    <x v="2"/>
    <n v="14.1"/>
    <n v="4"/>
    <n v="3.9"/>
    <s v="Yes"/>
    <n v="4"/>
  </r>
  <r>
    <s v="P042"/>
    <x v="1"/>
    <n v="14.7"/>
    <n v="5"/>
    <n v="3.6"/>
    <s v="Yes"/>
    <n v="7"/>
  </r>
  <r>
    <s v="P043"/>
    <x v="2"/>
    <n v="12.9"/>
    <n v="5"/>
    <n v="3.7"/>
    <s v="No"/>
    <n v="4"/>
  </r>
  <r>
    <s v="P044"/>
    <x v="2"/>
    <n v="15.7"/>
    <n v="3"/>
    <n v="3.6"/>
    <s v="Yes"/>
    <n v="5"/>
  </r>
  <r>
    <s v="P045"/>
    <x v="0"/>
    <n v="17.2"/>
    <n v="5"/>
    <n v="4.0999999999999996"/>
    <s v="Yes"/>
    <n v="7"/>
  </r>
  <r>
    <s v="P046"/>
    <x v="0"/>
    <n v="15.5"/>
    <n v="5"/>
    <n v="4"/>
    <s v="Yes"/>
    <n v="5"/>
  </r>
  <r>
    <s v="P047"/>
    <x v="0"/>
    <n v="17.2"/>
    <n v="4"/>
    <n v="4.3"/>
    <s v="Yes"/>
    <n v="5"/>
  </r>
  <r>
    <s v="P048"/>
    <x v="1"/>
    <n v="17.7"/>
    <n v="5"/>
    <n v="4.2"/>
    <s v="Yes"/>
    <n v="5"/>
  </r>
  <r>
    <s v="P049"/>
    <x v="2"/>
    <n v="13.4"/>
    <n v="3"/>
    <n v="3.8"/>
    <s v="Yes"/>
    <n v="5"/>
  </r>
  <r>
    <s v="P050"/>
    <x v="1"/>
    <n v="17.3"/>
    <n v="4"/>
    <n v="3.9"/>
    <s v="Yes"/>
    <n v="8"/>
  </r>
  <r>
    <s v="P051"/>
    <x v="0"/>
    <n v="15.2"/>
    <n v="4"/>
    <n v="1.2"/>
    <s v="No"/>
    <n v="6"/>
  </r>
  <r>
    <s v="P052"/>
    <x v="1"/>
    <n v="18.2"/>
    <n v="5"/>
    <n v="5"/>
    <s v="Yes"/>
    <n v="5"/>
  </r>
  <r>
    <s v="P053"/>
    <x v="2"/>
    <n v="13.7"/>
    <n v="4"/>
    <n v="3.5"/>
    <s v="Yes"/>
    <n v="7"/>
  </r>
  <r>
    <s v="P054"/>
    <x v="0"/>
    <n v="15.4"/>
    <n v="4"/>
    <n v="3.8"/>
    <s v="Yes"/>
    <n v="5"/>
  </r>
  <r>
    <s v="P055"/>
    <x v="0"/>
    <n v="18.100000000000001"/>
    <n v="5"/>
    <n v="5"/>
    <s v="No"/>
    <n v="7"/>
  </r>
  <r>
    <s v="P056"/>
    <x v="1"/>
    <n v="20.5"/>
    <n v="5"/>
    <n v="5.2"/>
    <s v="No"/>
    <n v="7"/>
  </r>
  <r>
    <s v="P057"/>
    <x v="0"/>
    <n v="19.600000000000001"/>
    <n v="5"/>
    <n v="5.3"/>
    <s v="Yes"/>
    <n v="4"/>
  </r>
  <r>
    <s v="P058"/>
    <x v="2"/>
    <n v="13.6"/>
    <n v="4"/>
    <n v="3"/>
    <s v="Yes"/>
    <n v="8"/>
  </r>
  <r>
    <s v="P059"/>
    <x v="2"/>
    <n v="11.5"/>
    <n v="4"/>
    <n v="3.3"/>
    <s v="Yes"/>
    <n v="6"/>
  </r>
  <r>
    <s v="P060"/>
    <x v="2"/>
    <n v="11.1"/>
    <n v="3"/>
    <n v="3.4"/>
    <s v="No"/>
    <n v="8"/>
  </r>
  <r>
    <s v="P061"/>
    <x v="2"/>
    <n v="16.600000000000001"/>
    <n v="7"/>
    <n v="4.3"/>
    <s v="Yes"/>
    <n v="6"/>
  </r>
  <r>
    <s v="P062"/>
    <x v="0"/>
    <n v="16.2"/>
    <n v="7"/>
    <n v="4"/>
    <s v="Yes"/>
    <n v="8"/>
  </r>
  <r>
    <s v="P063"/>
    <x v="0"/>
    <n v="13.1"/>
    <n v="5"/>
    <n v="3.5"/>
    <s v="No"/>
    <n v="4"/>
  </r>
  <r>
    <s v="P064"/>
    <x v="1"/>
    <n v="18.3"/>
    <n v="7"/>
    <n v="4.5"/>
    <s v="Yes"/>
    <n v="7"/>
  </r>
  <r>
    <s v="P065"/>
    <x v="2"/>
    <n v="12.1"/>
    <n v="4"/>
    <n v="3.1"/>
    <s v="No"/>
    <n v="6"/>
  </r>
  <r>
    <s v="P066"/>
    <x v="2"/>
    <n v="12.9"/>
    <n v="3"/>
    <n v="3.7"/>
    <s v="No"/>
    <n v="6"/>
  </r>
  <r>
    <s v="P067"/>
    <x v="1"/>
    <n v="14.9"/>
    <n v="6"/>
    <n v="3.7"/>
    <s v="Yes"/>
    <n v="8"/>
  </r>
  <r>
    <s v="P068"/>
    <x v="1"/>
    <n v="20"/>
    <n v="7"/>
    <n v="4.9000000000000004"/>
    <s v="Yes"/>
    <n v="8"/>
  </r>
  <r>
    <s v="P069"/>
    <x v="0"/>
    <n v="18.8"/>
    <n v="5"/>
    <n v="4.5"/>
    <s v="Yes"/>
    <n v="5"/>
  </r>
  <r>
    <s v="P070"/>
    <x v="0"/>
    <n v="13.5"/>
    <n v="4"/>
    <n v="3.9"/>
    <s v="Yes"/>
    <n v="6"/>
  </r>
  <r>
    <s v="P071"/>
    <x v="0"/>
    <n v="17.5"/>
    <n v="10"/>
    <n v="4.4000000000000004"/>
    <s v="Yes"/>
    <n v="5"/>
  </r>
  <r>
    <s v="P072"/>
    <x v="1"/>
    <n v="19.3"/>
    <n v="4"/>
    <n v="4.8"/>
    <s v="No"/>
    <n v="4"/>
  </r>
  <r>
    <s v="P073"/>
    <x v="0"/>
    <n v="16.5"/>
    <n v="5"/>
    <n v="3.8"/>
    <s v="Yes"/>
    <n v="6"/>
  </r>
  <r>
    <s v="P074"/>
    <x v="2"/>
    <n v="12.8"/>
    <n v="3"/>
    <n v="3.7"/>
    <s v="No"/>
    <n v="7"/>
  </r>
  <r>
    <s v="P075"/>
    <x v="0"/>
    <n v="17.399999999999999"/>
    <n v="4"/>
    <n v="4.0999999999999996"/>
    <s v="No"/>
    <n v="5"/>
  </r>
  <r>
    <s v="P076"/>
    <x v="1"/>
    <n v="14.5"/>
    <n v="6"/>
    <n v="3.7"/>
    <s v="Yes"/>
    <n v="4"/>
  </r>
  <r>
    <s v="P077"/>
    <x v="2"/>
    <n v="14"/>
    <n v="4"/>
    <n v="3.2"/>
    <s v="Yes"/>
    <n v="8"/>
  </r>
  <r>
    <s v="P078"/>
    <x v="1"/>
    <n v="16.3"/>
    <n v="4"/>
    <n v="4.4000000000000004"/>
    <s v="Yes"/>
    <n v="8"/>
  </r>
  <r>
    <s v="P079"/>
    <x v="0"/>
    <n v="14"/>
    <n v="5"/>
    <n v="3.8"/>
    <s v="No"/>
    <n v="6"/>
  </r>
  <r>
    <s v="P080"/>
    <x v="0"/>
    <n v="16.3"/>
    <n v="5"/>
    <n v="3.7"/>
    <s v="Yes"/>
    <n v="8"/>
  </r>
  <r>
    <s v="P081"/>
    <x v="1"/>
    <m/>
    <n v="5"/>
    <n v="4.7"/>
    <s v="Yes"/>
    <n v="8"/>
  </r>
  <r>
    <s v="P082"/>
    <x v="0"/>
    <n v="17.2"/>
    <n v="3"/>
    <n v="4.0999999999999996"/>
    <s v="No"/>
    <n v="6"/>
  </r>
  <r>
    <s v="P083"/>
    <x v="0"/>
    <n v="16.3"/>
    <n v="6"/>
    <n v="3.9"/>
    <s v="No"/>
    <n v="8"/>
  </r>
  <r>
    <s v="P084"/>
    <x v="0"/>
    <n v="17.3"/>
    <n v="5"/>
    <n v="4.5"/>
    <s v="Yes"/>
    <n v="5"/>
  </r>
  <r>
    <s v="P085"/>
    <x v="2"/>
    <n v="13.1"/>
    <n v="4"/>
    <n v="3.1"/>
    <s v="Yes"/>
    <n v="5"/>
  </r>
  <r>
    <s v="P086"/>
    <x v="0"/>
    <n v="17.2"/>
    <n v="5"/>
    <n v="4.3"/>
    <s v="Yes"/>
    <n v="7"/>
  </r>
  <r>
    <s v="P087"/>
    <x v="2"/>
    <n v="10.4"/>
    <n v="4"/>
    <n v="3.1"/>
    <s v="No"/>
    <n v="6"/>
  </r>
  <r>
    <s v="P088"/>
    <x v="0"/>
    <n v="16.600000000000001"/>
    <n v="4"/>
    <n v="3.9"/>
    <s v="No"/>
    <n v="4"/>
  </r>
  <r>
    <s v="P089"/>
    <x v="1"/>
    <n v="15.2"/>
    <n v="4"/>
    <n v="3.9"/>
    <s v="No"/>
    <n v="5"/>
  </r>
  <r>
    <s v="P090"/>
    <x v="2"/>
    <n v="13.2"/>
    <n v="4"/>
    <n v="3.5"/>
    <s v="No"/>
    <n v="8"/>
  </r>
  <r>
    <s v="P091"/>
    <x v="1"/>
    <n v="19.600000000000001"/>
    <n v="4"/>
    <n v="5.0999999999999996"/>
    <s v="Yes"/>
    <n v="7"/>
  </r>
  <r>
    <s v="P092"/>
    <x v="0"/>
    <n v="18.399999999999999"/>
    <n v="6"/>
    <n v="4.8"/>
    <s v="No"/>
    <n v="4"/>
  </r>
  <r>
    <s v="P093"/>
    <x v="1"/>
    <n v="16.899999999999999"/>
    <n v="7"/>
    <n v="4.5"/>
    <s v="Yes"/>
    <n v="8"/>
  </r>
  <r>
    <s v="P094"/>
    <x v="1"/>
    <n v="19.5"/>
    <n v="8"/>
    <n v="4.8"/>
    <s v="Yes"/>
    <n v="6"/>
  </r>
  <r>
    <s v="P095"/>
    <x v="1"/>
    <n v="18.8"/>
    <n v="5"/>
    <n v="4.9000000000000004"/>
    <s v="No"/>
    <n v="7"/>
  </r>
  <r>
    <s v="P096"/>
    <x v="1"/>
    <n v="17.8"/>
    <n v="5"/>
    <n v="4.2"/>
    <s v="No"/>
    <n v="4"/>
  </r>
  <r>
    <s v="P097"/>
    <x v="1"/>
    <n v="20.7"/>
    <n v="5"/>
    <n v="4.9000000000000004"/>
    <s v="Yes"/>
    <n v="8"/>
  </r>
  <r>
    <s v="P098"/>
    <x v="0"/>
    <n v="16.600000000000001"/>
    <n v="5"/>
    <n v="3.8"/>
    <s v="Yes"/>
    <n v="7"/>
  </r>
  <r>
    <s v="P099"/>
    <x v="0"/>
    <n v="15.2"/>
    <n v="6"/>
    <n v="3.4"/>
    <s v="Yes"/>
    <n v="4"/>
  </r>
  <r>
    <s v="P100"/>
    <x v="2"/>
    <n v="14.1"/>
    <n v="3"/>
    <n v="3.4"/>
    <s v="Yes"/>
    <n v="5"/>
  </r>
  <r>
    <m/>
    <x v="3"/>
    <m/>
    <m/>
    <m/>
    <m/>
    <m/>
  </r>
  <r>
    <m/>
    <x v="3"/>
    <m/>
    <m/>
    <m/>
    <m/>
    <m/>
  </r>
  <r>
    <m/>
    <x v="3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s v="P001"/>
    <x v="0"/>
    <n v="17.899999999999999"/>
    <n v="5"/>
    <n v="4.9000000000000004"/>
    <s v="No"/>
    <n v="7"/>
  </r>
  <r>
    <s v="P002"/>
    <x v="1"/>
    <n v="15.4"/>
    <n v="5"/>
    <n v="4"/>
    <s v="Yes"/>
    <n v="6"/>
  </r>
  <r>
    <s v="P003"/>
    <x v="1"/>
    <m/>
    <n v="5"/>
    <n v="4"/>
    <s v="No"/>
    <n v="6"/>
  </r>
  <r>
    <s v="P004"/>
    <x v="0"/>
    <n v="14.9"/>
    <n v="6"/>
    <n v="4.3"/>
    <s v="No"/>
    <n v="5"/>
  </r>
  <r>
    <s v="P005"/>
    <x v="0"/>
    <n v="14.7"/>
    <n v="6"/>
    <n v="3.8"/>
    <s v="Yes"/>
    <n v="5"/>
  </r>
  <r>
    <s v="P006"/>
    <x v="1"/>
    <n v="18.600000000000001"/>
    <m/>
    <n v="4.8"/>
    <s v="No"/>
    <n v="6"/>
  </r>
  <r>
    <s v="P007"/>
    <x v="0"/>
    <n v="14.5"/>
    <n v="4"/>
    <n v="3.3"/>
    <s v="Yes"/>
    <n v="8"/>
  </r>
  <r>
    <s v="P008"/>
    <x v="1"/>
    <n v="20.2"/>
    <n v="5"/>
    <n v="5.2"/>
    <s v="Yes"/>
    <n v="4"/>
  </r>
  <r>
    <s v="P009"/>
    <x v="1"/>
    <n v="19.399999999999999"/>
    <n v="5"/>
    <n v="4.8"/>
    <s v="No"/>
    <n v="4"/>
  </r>
  <r>
    <s v="P010"/>
    <x v="0"/>
    <n v="15.5"/>
    <n v="5"/>
    <n v="3.9"/>
    <s v="Yes"/>
    <n v="7"/>
  </r>
  <r>
    <s v="P011"/>
    <x v="0"/>
    <n v="13"/>
    <n v="3"/>
    <n v="3.1"/>
    <s v="Yes"/>
    <n v="4"/>
  </r>
  <r>
    <s v="P012"/>
    <x v="0"/>
    <n v="13.7"/>
    <n v="4"/>
    <n v="3.6"/>
    <s v="Yes"/>
    <n v="6"/>
  </r>
  <r>
    <s v="P013"/>
    <x v="2"/>
    <n v="16"/>
    <n v="4"/>
    <n v="3.3"/>
    <s v="No"/>
    <n v="7"/>
  </r>
  <r>
    <s v="P014"/>
    <x v="1"/>
    <n v="17.100000000000001"/>
    <n v="7"/>
    <n v="4.8"/>
    <s v="Yes"/>
    <n v="4"/>
  </r>
  <r>
    <s v="P015"/>
    <x v="0"/>
    <n v="14.5"/>
    <n v="5"/>
    <n v="3.4"/>
    <s v="No"/>
    <n v="6"/>
  </r>
  <r>
    <s v="P017"/>
    <x v="1"/>
    <n v="18.7"/>
    <n v="6"/>
    <n v="4.5999999999999996"/>
    <s v="Yes"/>
    <n v="5"/>
  </r>
  <r>
    <s v="P018"/>
    <x v="2"/>
    <n v="13.2"/>
    <n v="6"/>
    <n v="3.7"/>
    <s v="Yes"/>
    <n v="5"/>
  </r>
  <r>
    <s v="P019"/>
    <x v="1"/>
    <n v="17.899999999999999"/>
    <n v="7"/>
    <n v="4.8"/>
    <s v="No"/>
    <n v="8"/>
  </r>
  <r>
    <s v="P020"/>
    <x v="0"/>
    <n v="17.7"/>
    <n v="4"/>
    <n v="4.4000000000000004"/>
    <s v="No"/>
    <n v="6"/>
  </r>
  <r>
    <s v="P021"/>
    <x v="0"/>
    <n v="14.6"/>
    <n v="3"/>
    <n v="4.5"/>
    <s v="Yes"/>
    <n v="8"/>
  </r>
  <r>
    <s v="P022"/>
    <x v="0"/>
    <n v="14.9"/>
    <n v="7"/>
    <n v="4.0999999999999996"/>
    <s v="No"/>
    <n v="5"/>
  </r>
  <r>
    <s v="P023"/>
    <x v="2"/>
    <n v="15.5"/>
    <n v="5"/>
    <n v="4.0999999999999996"/>
    <s v="Yes"/>
    <n v="7"/>
  </r>
  <r>
    <s v="P024"/>
    <x v="0"/>
    <n v="15.3"/>
    <n v="5"/>
    <n v="3.9"/>
    <s v="No"/>
    <n v="6"/>
  </r>
  <r>
    <s v="P025"/>
    <x v="2"/>
    <n v="13.9"/>
    <n v="3"/>
    <n v="3.4"/>
    <s v="Yes"/>
    <n v="6"/>
  </r>
  <r>
    <s v="P027"/>
    <x v="2"/>
    <n v="16.5"/>
    <n v="3"/>
    <n v="4.7"/>
    <s v="Yes"/>
    <n v="4"/>
  </r>
  <r>
    <s v="P028"/>
    <x v="0"/>
    <n v="14.2"/>
    <n v="5"/>
    <n v="3.9"/>
    <s v="No"/>
    <n v="8"/>
  </r>
  <r>
    <s v="P029"/>
    <x v="2"/>
    <n v="13.5"/>
    <n v="3"/>
    <n v="3.8"/>
    <s v="Yes"/>
    <n v="6"/>
  </r>
  <r>
    <s v="P030"/>
    <x v="2"/>
    <n v="10.9"/>
    <n v="3"/>
    <n v="2.4"/>
    <s v="No"/>
    <n v="4"/>
  </r>
  <r>
    <s v="P031"/>
    <x v="1"/>
    <n v="19.100000000000001"/>
    <n v="7"/>
    <n v="4.8"/>
    <s v="Yes"/>
    <n v="7"/>
  </r>
  <r>
    <s v="P032"/>
    <x v="0"/>
    <n v="17.3"/>
    <n v="6"/>
    <n v="4.7"/>
    <s v="Yes"/>
    <n v="4"/>
  </r>
  <r>
    <s v="P033"/>
    <x v="1"/>
    <n v="16.8"/>
    <n v="6"/>
    <n v="4.2"/>
    <s v="Yes"/>
    <n v="6"/>
  </r>
  <r>
    <s v="P034"/>
    <x v="0"/>
    <n v="17.100000000000001"/>
    <n v="4"/>
    <n v="4.3"/>
    <s v="Yes"/>
    <n v="8"/>
  </r>
  <r>
    <s v="P035"/>
    <x v="2"/>
    <n v="10.199999999999999"/>
    <n v="5"/>
    <n v="2.6"/>
    <s v="No"/>
    <n v="5"/>
  </r>
  <r>
    <s v="P036"/>
    <x v="1"/>
    <n v="18.100000000000001"/>
    <n v="6"/>
    <n v="4.9000000000000004"/>
    <s v="Yes"/>
    <n v="9"/>
  </r>
  <r>
    <s v="P037"/>
    <x v="2"/>
    <n v="13.2"/>
    <n v="4"/>
    <n v="3.5"/>
    <s v="No"/>
    <n v="7"/>
  </r>
  <r>
    <s v="P038"/>
    <x v="2"/>
    <n v="16.7"/>
    <n v="4"/>
    <n v="4.0999999999999996"/>
    <s v="Yes"/>
    <n v="8"/>
  </r>
  <r>
    <s v="P039"/>
    <x v="0"/>
    <n v="17"/>
    <n v="4"/>
    <n v="4.7"/>
    <s v="Yes"/>
    <n v="4"/>
  </r>
  <r>
    <s v="P040"/>
    <x v="1"/>
    <n v="16.899999999999999"/>
    <n v="5"/>
    <n v="3.9"/>
    <s v="No"/>
    <n v="4"/>
  </r>
  <r>
    <s v="P041"/>
    <x v="2"/>
    <n v="14.1"/>
    <n v="4"/>
    <n v="3.9"/>
    <s v="Yes"/>
    <n v="4"/>
  </r>
  <r>
    <s v="P042"/>
    <x v="1"/>
    <n v="14.7"/>
    <n v="5"/>
    <n v="3.6"/>
    <s v="Yes"/>
    <n v="7"/>
  </r>
  <r>
    <s v="P043"/>
    <x v="2"/>
    <n v="12.9"/>
    <n v="5"/>
    <n v="3.7"/>
    <s v="No"/>
    <n v="4"/>
  </r>
  <r>
    <s v="P044"/>
    <x v="2"/>
    <n v="15.7"/>
    <n v="3"/>
    <n v="3.6"/>
    <s v="Yes"/>
    <n v="5"/>
  </r>
  <r>
    <s v="P045"/>
    <x v="0"/>
    <n v="17.2"/>
    <n v="5"/>
    <n v="4.0999999999999996"/>
    <s v="Yes"/>
    <n v="7"/>
  </r>
  <r>
    <s v="P046"/>
    <x v="0"/>
    <n v="15.5"/>
    <n v="5"/>
    <n v="4"/>
    <s v="Yes"/>
    <n v="5"/>
  </r>
  <r>
    <s v="P047"/>
    <x v="0"/>
    <n v="17.2"/>
    <n v="4"/>
    <n v="4.3"/>
    <s v="Yes"/>
    <n v="5"/>
  </r>
  <r>
    <s v="P048"/>
    <x v="1"/>
    <n v="17.7"/>
    <n v="5"/>
    <n v="4.2"/>
    <s v="Yes"/>
    <n v="5"/>
  </r>
  <r>
    <s v="P049"/>
    <x v="2"/>
    <n v="13.4"/>
    <n v="3"/>
    <n v="3.8"/>
    <s v="Yes"/>
    <n v="5"/>
  </r>
  <r>
    <s v="P050"/>
    <x v="1"/>
    <n v="17.3"/>
    <n v="4"/>
    <n v="3.9"/>
    <s v="Yes"/>
    <n v="8"/>
  </r>
  <r>
    <s v="P051"/>
    <x v="0"/>
    <n v="15.2"/>
    <n v="4"/>
    <n v="1.2"/>
    <s v="No"/>
    <n v="6"/>
  </r>
  <r>
    <s v="P052"/>
    <x v="1"/>
    <n v="18.2"/>
    <n v="5"/>
    <n v="5"/>
    <s v="Yes"/>
    <n v="5"/>
  </r>
  <r>
    <s v="P053"/>
    <x v="2"/>
    <n v="13.7"/>
    <n v="4"/>
    <n v="3.5"/>
    <s v="Yes"/>
    <n v="7"/>
  </r>
  <r>
    <s v="P054"/>
    <x v="0"/>
    <n v="15.4"/>
    <n v="4"/>
    <n v="3.8"/>
    <s v="Yes"/>
    <n v="5"/>
  </r>
  <r>
    <s v="P055"/>
    <x v="0"/>
    <n v="18.100000000000001"/>
    <n v="5"/>
    <n v="5"/>
    <s v="No"/>
    <n v="7"/>
  </r>
  <r>
    <s v="P056"/>
    <x v="1"/>
    <n v="20.5"/>
    <n v="5"/>
    <n v="5.2"/>
    <s v="No"/>
    <n v="7"/>
  </r>
  <r>
    <s v="P057"/>
    <x v="0"/>
    <n v="19.600000000000001"/>
    <n v="5"/>
    <n v="5.3"/>
    <s v="Yes"/>
    <n v="4"/>
  </r>
  <r>
    <s v="P058"/>
    <x v="2"/>
    <n v="13.6"/>
    <n v="4"/>
    <n v="3"/>
    <s v="Yes"/>
    <n v="8"/>
  </r>
  <r>
    <s v="P059"/>
    <x v="2"/>
    <n v="11.5"/>
    <n v="4"/>
    <n v="3.3"/>
    <s v="Yes"/>
    <n v="6"/>
  </r>
  <r>
    <s v="P060"/>
    <x v="2"/>
    <n v="11.1"/>
    <n v="3"/>
    <n v="3.4"/>
    <s v="No"/>
    <n v="8"/>
  </r>
  <r>
    <s v="P061"/>
    <x v="2"/>
    <n v="16.600000000000001"/>
    <n v="7"/>
    <n v="4.3"/>
    <s v="Yes"/>
    <n v="6"/>
  </r>
  <r>
    <s v="P062"/>
    <x v="0"/>
    <n v="16.2"/>
    <n v="7"/>
    <n v="4"/>
    <s v="Yes"/>
    <n v="8"/>
  </r>
  <r>
    <s v="P063"/>
    <x v="0"/>
    <n v="13.1"/>
    <n v="5"/>
    <n v="3.5"/>
    <s v="No"/>
    <n v="4"/>
  </r>
  <r>
    <s v="P064"/>
    <x v="1"/>
    <n v="18.3"/>
    <n v="7"/>
    <n v="4.5"/>
    <s v="Yes"/>
    <n v="7"/>
  </r>
  <r>
    <s v="P065"/>
    <x v="2"/>
    <n v="12.1"/>
    <n v="4"/>
    <n v="3.1"/>
    <s v="No"/>
    <n v="6"/>
  </r>
  <r>
    <s v="P066"/>
    <x v="2"/>
    <n v="12.9"/>
    <n v="3"/>
    <n v="3.7"/>
    <s v="No"/>
    <n v="6"/>
  </r>
  <r>
    <s v="P067"/>
    <x v="1"/>
    <n v="14.9"/>
    <n v="6"/>
    <n v="3.7"/>
    <s v="Yes"/>
    <n v="8"/>
  </r>
  <r>
    <s v="P068"/>
    <x v="1"/>
    <n v="20"/>
    <n v="7"/>
    <n v="4.9000000000000004"/>
    <s v="Yes"/>
    <n v="8"/>
  </r>
  <r>
    <s v="P069"/>
    <x v="0"/>
    <n v="18.8"/>
    <n v="5"/>
    <n v="4.5"/>
    <s v="Yes"/>
    <n v="5"/>
  </r>
  <r>
    <s v="P070"/>
    <x v="0"/>
    <n v="13.5"/>
    <n v="4"/>
    <n v="3.9"/>
    <s v="Yes"/>
    <n v="6"/>
  </r>
  <r>
    <s v="P071"/>
    <x v="0"/>
    <n v="17.5"/>
    <n v="10"/>
    <n v="4.4000000000000004"/>
    <s v="Yes"/>
    <n v="5"/>
  </r>
  <r>
    <s v="P072"/>
    <x v="1"/>
    <n v="19.3"/>
    <n v="4"/>
    <n v="4.8"/>
    <s v="No"/>
    <n v="4"/>
  </r>
  <r>
    <s v="P073"/>
    <x v="0"/>
    <n v="16.5"/>
    <n v="5"/>
    <n v="3.8"/>
    <s v="Yes"/>
    <n v="6"/>
  </r>
  <r>
    <s v="P074"/>
    <x v="2"/>
    <n v="12.8"/>
    <n v="3"/>
    <n v="3.7"/>
    <s v="No"/>
    <n v="7"/>
  </r>
  <r>
    <s v="P075"/>
    <x v="0"/>
    <n v="17.399999999999999"/>
    <n v="4"/>
    <n v="4.0999999999999996"/>
    <s v="No"/>
    <n v="5"/>
  </r>
  <r>
    <s v="P076"/>
    <x v="1"/>
    <n v="14.5"/>
    <n v="6"/>
    <n v="3.7"/>
    <s v="Yes"/>
    <n v="4"/>
  </r>
  <r>
    <s v="P077"/>
    <x v="2"/>
    <n v="14"/>
    <n v="4"/>
    <n v="3.2"/>
    <s v="Yes"/>
    <n v="8"/>
  </r>
  <r>
    <s v="P078"/>
    <x v="1"/>
    <n v="16.3"/>
    <n v="4"/>
    <n v="4.4000000000000004"/>
    <s v="Yes"/>
    <n v="8"/>
  </r>
  <r>
    <s v="P079"/>
    <x v="0"/>
    <n v="14"/>
    <n v="5"/>
    <n v="3.8"/>
    <s v="No"/>
    <n v="6"/>
  </r>
  <r>
    <s v="P080"/>
    <x v="0"/>
    <n v="16.3"/>
    <n v="5"/>
    <n v="3.7"/>
    <s v="Yes"/>
    <n v="8"/>
  </r>
  <r>
    <s v="P081"/>
    <x v="1"/>
    <m/>
    <n v="5"/>
    <n v="4.7"/>
    <s v="Yes"/>
    <n v="8"/>
  </r>
  <r>
    <s v="P082"/>
    <x v="0"/>
    <n v="17.2"/>
    <n v="3"/>
    <n v="4.0999999999999996"/>
    <s v="No"/>
    <n v="6"/>
  </r>
  <r>
    <s v="P083"/>
    <x v="0"/>
    <n v="16.3"/>
    <n v="6"/>
    <n v="3.9"/>
    <s v="No"/>
    <n v="8"/>
  </r>
  <r>
    <s v="P084"/>
    <x v="0"/>
    <n v="17.3"/>
    <n v="5"/>
    <n v="4.5"/>
    <s v="Yes"/>
    <n v="5"/>
  </r>
  <r>
    <s v="P085"/>
    <x v="2"/>
    <n v="13.1"/>
    <n v="4"/>
    <n v="3.1"/>
    <s v="Yes"/>
    <n v="5"/>
  </r>
  <r>
    <s v="P086"/>
    <x v="0"/>
    <n v="17.2"/>
    <n v="5"/>
    <n v="4.3"/>
    <s v="Yes"/>
    <n v="7"/>
  </r>
  <r>
    <s v="P087"/>
    <x v="2"/>
    <n v="10.4"/>
    <n v="4"/>
    <n v="3.1"/>
    <s v="No"/>
    <n v="6"/>
  </r>
  <r>
    <s v="P088"/>
    <x v="0"/>
    <n v="16.600000000000001"/>
    <n v="4"/>
    <n v="3.9"/>
    <s v="No"/>
    <n v="4"/>
  </r>
  <r>
    <s v="P089"/>
    <x v="1"/>
    <n v="15.2"/>
    <n v="4"/>
    <n v="3.9"/>
    <s v="No"/>
    <n v="5"/>
  </r>
  <r>
    <s v="P090"/>
    <x v="2"/>
    <n v="13.2"/>
    <n v="4"/>
    <n v="3.5"/>
    <s v="No"/>
    <n v="8"/>
  </r>
  <r>
    <s v="P091"/>
    <x v="1"/>
    <n v="19.600000000000001"/>
    <n v="4"/>
    <n v="5.0999999999999996"/>
    <s v="Yes"/>
    <n v="7"/>
  </r>
  <r>
    <s v="P092"/>
    <x v="0"/>
    <n v="18.399999999999999"/>
    <n v="6"/>
    <n v="4.8"/>
    <s v="No"/>
    <n v="4"/>
  </r>
  <r>
    <s v="P093"/>
    <x v="1"/>
    <n v="16.899999999999999"/>
    <n v="7"/>
    <n v="4.5"/>
    <s v="Yes"/>
    <n v="8"/>
  </r>
  <r>
    <s v="P094"/>
    <x v="1"/>
    <n v="19.5"/>
    <n v="8"/>
    <n v="4.8"/>
    <s v="Yes"/>
    <n v="6"/>
  </r>
  <r>
    <s v="P095"/>
    <x v="1"/>
    <n v="18.8"/>
    <n v="5"/>
    <n v="4.9000000000000004"/>
    <s v="No"/>
    <n v="7"/>
  </r>
  <r>
    <s v="P096"/>
    <x v="1"/>
    <n v="17.8"/>
    <n v="5"/>
    <n v="4.2"/>
    <s v="No"/>
    <n v="4"/>
  </r>
  <r>
    <s v="P097"/>
    <x v="1"/>
    <n v="20.7"/>
    <n v="5"/>
    <n v="4.9000000000000004"/>
    <s v="Yes"/>
    <n v="8"/>
  </r>
  <r>
    <s v="P098"/>
    <x v="0"/>
    <n v="16.600000000000001"/>
    <n v="5"/>
    <n v="3.8"/>
    <s v="Yes"/>
    <n v="7"/>
  </r>
  <r>
    <s v="P099"/>
    <x v="0"/>
    <n v="15.2"/>
    <n v="6"/>
    <n v="3.4"/>
    <s v="Yes"/>
    <n v="4"/>
  </r>
  <r>
    <s v="P100"/>
    <x v="2"/>
    <n v="14.1"/>
    <n v="3"/>
    <n v="3.4"/>
    <s v="Yes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3170B-76C3-4995-9ABB-C7790B66B99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7">
    <pivotField compact="0" outline="0" showAll="0"/>
    <pivotField axis="axisRow" compact="0" outline="0" showAll="0">
      <items count="5">
        <item x="2"/>
        <item m="1" x="3"/>
        <item x="0"/>
        <item x="1"/>
        <item t="default"/>
      </items>
    </pivotField>
    <pivotField dataField="1" compact="0" outline="0" showAll="0"/>
    <pivotField compact="0" outline="0" showAll="0"/>
    <pivotField compact="0" numFmtId="164" outline="0" showAll="0"/>
    <pivotField compact="0" outline="0" showAll="0"/>
    <pivotField compact="0" outline="0" showAll="0"/>
  </pivotFields>
  <rowFields count="1">
    <field x="1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Average of Height_cm" fld="2" subtotal="average" baseField="0" baseItem="0" numFmtId="164"/>
  </dataFields>
  <formats count="3">
    <format dxfId="9">
      <pivotArea outline="0" fieldPosition="0">
        <references count="1">
          <reference field="1" count="0" selected="0"/>
        </references>
      </pivotArea>
    </format>
    <format dxfId="10">
      <pivotArea grandRow="1" outline="0" collapsedLevelsAreSubtotals="1" fieldPosition="0"/>
    </format>
    <format dxfId="11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084BF-D99E-4705-8FC6-418D358A730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7">
    <pivotField compact="0" outline="0" showAll="0"/>
    <pivotField axis="axisRow" compact="0" outline="0" showAll="0">
      <items count="5">
        <item x="2"/>
        <item x="0"/>
        <item x="1"/>
        <item h="1"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Biomass_g" fld="4" subtotal="average" baseField="0" baseItem="0" numFmtId="164"/>
  </dataFields>
  <formats count="1">
    <format dxfId="8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DA455-6A9F-4A9C-AD58-43967FF2DB1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7">
    <pivotField compact="0" outline="0" showAll="0"/>
    <pivotField axis="axisRow" compact="0" outline="0" showAll="0">
      <items count="5">
        <item x="2"/>
        <item x="0"/>
        <item x="1"/>
        <item h="1"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Leaves" fld="3" subtotal="average" baseField="0" baseItem="0" numFmtId="164"/>
  </dataFields>
  <formats count="1">
    <format dxfId="7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B17C4-7A68-46B0-AAB2-53021A248D3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7">
    <pivotField compact="0" outline="0" showAll="0"/>
    <pivotField axis="axisRow" compact="0" outline="0" showAll="0">
      <items count="5">
        <item x="2"/>
        <item x="0"/>
        <item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Week" fld="6" subtotal="average" baseField="0" baseItem="0" numFmtId="164"/>
  </dataFields>
  <formats count="1">
    <format dxfId="6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103779-4210-4A9A-86CE-30735A9189B0}" name="PlantData" displayName="PlantData" ref="A1:G99" totalsRowShown="0" headerRowDxfId="5" headerRowBorderDxfId="3" tableBorderDxfId="4">
  <autoFilter ref="A1:G99" xr:uid="{02103779-4210-4A9A-86CE-30735A9189B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D81F1374-E73F-433F-988D-93A596CE64FA}" name="Plant_ID"/>
    <tableColumn id="2" xr3:uid="{B8F9D278-997E-4E04-B44C-EDDDDC8A24FD}" name="Treatment"/>
    <tableColumn id="3" xr3:uid="{701B2A8E-7F5E-42DC-945B-FB764655E5C2}" name="Height_cm" dataDxfId="2"/>
    <tableColumn id="4" xr3:uid="{15D70793-210D-49AD-8F92-9F0470BE7432}" name="Leaves"/>
    <tableColumn id="5" xr3:uid="{82928BF2-D12E-4546-A9D4-BAE276B41994}" name="Biomass_g" dataDxfId="1"/>
    <tableColumn id="6" xr3:uid="{D966142A-36D3-4CC6-BABF-7E54AFB042BA}" name="Germinated"/>
    <tableColumn id="7" xr3:uid="{27436B87-51D7-4293-A7DC-535FF9794A42}" name="Week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A2E47B-04FF-4BB6-8746-C5A502692071}" name="Table1" displayName="Table1" ref="A1:B13" totalsRowShown="0" headerRowDxfId="0">
  <autoFilter ref="A1:B13" xr:uid="{CFA2E47B-04FF-4BB6-8746-C5A502692071}">
    <filterColumn colId="0" hiddenButton="1"/>
    <filterColumn colId="1" hiddenButton="1"/>
  </autoFilter>
  <tableColumns count="2">
    <tableColumn id="1" xr3:uid="{F168D02F-B774-4413-A402-8DAE549AFFE3}" name="METRICS"/>
    <tableColumn id="2" xr3:uid="{CCE45EC1-C336-4EA4-8F29-3EAED7152B10}" name="SUMMARY STATISTICS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2F396-4430-4D9A-9C87-6270DC5EC0AA}">
  <dimension ref="A3:B7"/>
  <sheetViews>
    <sheetView workbookViewId="0">
      <selection activeCell="B5" sqref="B5"/>
    </sheetView>
  </sheetViews>
  <sheetFormatPr defaultRowHeight="15"/>
  <cols>
    <col min="1" max="1" width="13.7109375" bestFit="1" customWidth="1"/>
    <col min="2" max="2" width="21.140625" bestFit="1" customWidth="1"/>
  </cols>
  <sheetData>
    <row r="3" spans="1:2">
      <c r="A3" s="3" t="s">
        <v>0</v>
      </c>
      <c r="B3" t="s">
        <v>1</v>
      </c>
    </row>
    <row r="4" spans="1:2">
      <c r="A4" t="s">
        <v>2</v>
      </c>
      <c r="B4" s="2">
        <v>13.511111111111111</v>
      </c>
    </row>
    <row r="5" spans="1:2">
      <c r="A5" t="s">
        <v>3</v>
      </c>
      <c r="B5" s="2">
        <v>16.077500000000001</v>
      </c>
    </row>
    <row r="6" spans="1:2">
      <c r="A6" t="s">
        <v>4</v>
      </c>
      <c r="B6" s="2">
        <v>17.875862068965517</v>
      </c>
    </row>
    <row r="7" spans="1:2">
      <c r="A7" t="s">
        <v>5</v>
      </c>
      <c r="B7" s="2">
        <v>15.898958333333335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63C61-A6CA-4630-8B1B-4135AE700534}">
  <dimension ref="A3:B7"/>
  <sheetViews>
    <sheetView workbookViewId="0">
      <selection activeCell="B6" sqref="B6"/>
    </sheetView>
  </sheetViews>
  <sheetFormatPr defaultRowHeight="15"/>
  <cols>
    <col min="1" max="1" width="13.7109375" bestFit="1" customWidth="1"/>
    <col min="2" max="2" width="21" bestFit="1" customWidth="1"/>
  </cols>
  <sheetData>
    <row r="3" spans="1:2">
      <c r="A3" s="3" t="s">
        <v>0</v>
      </c>
      <c r="B3" t="s">
        <v>6</v>
      </c>
    </row>
    <row r="4" spans="1:2">
      <c r="A4" t="s">
        <v>2</v>
      </c>
      <c r="B4" s="2">
        <v>3.5148148148148146</v>
      </c>
    </row>
    <row r="5" spans="1:2">
      <c r="A5" t="s">
        <v>3</v>
      </c>
      <c r="B5" s="2">
        <v>4.0225000000000009</v>
      </c>
    </row>
    <row r="6" spans="1:2">
      <c r="A6" t="s">
        <v>4</v>
      </c>
      <c r="B6" s="2">
        <v>4.5064516129032262</v>
      </c>
    </row>
    <row r="7" spans="1:2">
      <c r="A7" t="s">
        <v>5</v>
      </c>
      <c r="B7" s="2">
        <v>4.0357142857142847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8A93-D69C-4F63-9E48-048249C5A8B9}">
  <dimension ref="A3:B7"/>
  <sheetViews>
    <sheetView workbookViewId="0">
      <selection activeCell="O4" sqref="O4"/>
    </sheetView>
  </sheetViews>
  <sheetFormatPr defaultRowHeight="15"/>
  <cols>
    <col min="1" max="1" width="13.7109375" bestFit="1" customWidth="1"/>
    <col min="2" max="2" width="17.5703125" bestFit="1" customWidth="1"/>
  </cols>
  <sheetData>
    <row r="3" spans="1:2">
      <c r="A3" s="3" t="s">
        <v>0</v>
      </c>
      <c r="B3" t="s">
        <v>7</v>
      </c>
    </row>
    <row r="4" spans="1:2">
      <c r="A4" t="s">
        <v>2</v>
      </c>
      <c r="B4" s="2">
        <v>3.925925925925926</v>
      </c>
    </row>
    <row r="5" spans="1:2">
      <c r="A5" t="s">
        <v>3</v>
      </c>
      <c r="B5" s="2">
        <v>4.95</v>
      </c>
    </row>
    <row r="6" spans="1:2">
      <c r="A6" t="s">
        <v>4</v>
      </c>
      <c r="B6" s="2">
        <v>5.5</v>
      </c>
    </row>
    <row r="7" spans="1:2">
      <c r="A7" t="s">
        <v>5</v>
      </c>
      <c r="B7" s="2">
        <v>4.8350515463917523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8577-2FF4-49D6-B5A4-881519684299}">
  <dimension ref="A3:B7"/>
  <sheetViews>
    <sheetView workbookViewId="0">
      <selection activeCell="B5" sqref="B5"/>
    </sheetView>
  </sheetViews>
  <sheetFormatPr defaultRowHeight="15"/>
  <cols>
    <col min="1" max="1" width="13.7109375" bestFit="1" customWidth="1"/>
    <col min="2" max="2" width="16.5703125" bestFit="1" customWidth="1"/>
  </cols>
  <sheetData>
    <row r="3" spans="1:2">
      <c r="A3" s="3" t="s">
        <v>0</v>
      </c>
      <c r="B3" t="s">
        <v>8</v>
      </c>
    </row>
    <row r="4" spans="1:2">
      <c r="A4" t="s">
        <v>2</v>
      </c>
      <c r="B4" s="2">
        <v>6.0370370370370372</v>
      </c>
    </row>
    <row r="5" spans="1:2">
      <c r="A5" t="s">
        <v>3</v>
      </c>
      <c r="B5" s="2">
        <v>5.85</v>
      </c>
    </row>
    <row r="6" spans="1:2">
      <c r="A6" t="s">
        <v>4</v>
      </c>
      <c r="B6" s="2">
        <v>6.225806451612903</v>
      </c>
    </row>
    <row r="7" spans="1:2">
      <c r="A7" t="s">
        <v>5</v>
      </c>
      <c r="B7" s="2">
        <v>6.0204081632653059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FD7FC-7478-4733-B30D-F2D53A58CE8F}">
  <dimension ref="A1:X19"/>
  <sheetViews>
    <sheetView showGridLines="0" tabSelected="1" workbookViewId="0">
      <selection activeCell="Y1" sqref="Y1"/>
    </sheetView>
  </sheetViews>
  <sheetFormatPr defaultRowHeight="15"/>
  <sheetData>
    <row r="1" spans="1:24" ht="31.5">
      <c r="A1" s="10" t="s">
        <v>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3" spans="1:24">
      <c r="H3" s="4"/>
    </row>
    <row r="10" spans="1:24">
      <c r="J10" s="5"/>
    </row>
    <row r="19" spans="1:8" ht="18.75">
      <c r="A19" s="6"/>
      <c r="B19" s="7"/>
      <c r="C19" s="7"/>
      <c r="D19" s="7"/>
      <c r="E19" s="7"/>
      <c r="F19" s="7"/>
      <c r="G19" s="7"/>
      <c r="H19" s="7"/>
    </row>
  </sheetData>
  <mergeCells count="1">
    <mergeCell ref="A1:X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workbookViewId="0">
      <selection activeCell="P3" sqref="P3"/>
    </sheetView>
  </sheetViews>
  <sheetFormatPr defaultRowHeight="15"/>
  <cols>
    <col min="1" max="1" width="13.28515625" bestFit="1" customWidth="1"/>
    <col min="2" max="2" width="15.5703125" bestFit="1" customWidth="1"/>
    <col min="3" max="3" width="15.85546875" style="2" bestFit="1" customWidth="1"/>
    <col min="4" max="4" width="11.28515625" bestFit="1" customWidth="1"/>
    <col min="5" max="5" width="15.7109375" style="2" bestFit="1" customWidth="1"/>
    <col min="6" max="6" width="17.140625" bestFit="1" customWidth="1"/>
    <col min="7" max="7" width="10.140625" bestFit="1" customWidth="1"/>
  </cols>
  <sheetData>
    <row r="1" spans="1:7" s="1" customFormat="1" ht="18.75">
      <c r="A1" s="9" t="s">
        <v>10</v>
      </c>
      <c r="B1" s="9" t="s">
        <v>0</v>
      </c>
      <c r="C1" s="9" t="s">
        <v>11</v>
      </c>
      <c r="D1" s="9" t="s">
        <v>12</v>
      </c>
      <c r="E1" s="9" t="s">
        <v>13</v>
      </c>
      <c r="F1" s="9" t="s">
        <v>14</v>
      </c>
      <c r="G1" s="9" t="s">
        <v>15</v>
      </c>
    </row>
    <row r="2" spans="1:7">
      <c r="A2" t="s">
        <v>16</v>
      </c>
      <c r="B2" t="s">
        <v>3</v>
      </c>
      <c r="C2" s="2">
        <v>17.899999999999999</v>
      </c>
      <c r="D2">
        <v>5</v>
      </c>
      <c r="E2" s="2">
        <v>4.9000000000000004</v>
      </c>
      <c r="F2" t="s">
        <v>17</v>
      </c>
      <c r="G2">
        <v>7</v>
      </c>
    </row>
    <row r="3" spans="1:7">
      <c r="A3" t="s">
        <v>18</v>
      </c>
      <c r="B3" t="s">
        <v>4</v>
      </c>
      <c r="C3" s="2">
        <v>15.4</v>
      </c>
      <c r="D3">
        <v>5</v>
      </c>
      <c r="E3" s="2">
        <v>4</v>
      </c>
      <c r="F3" t="s">
        <v>19</v>
      </c>
      <c r="G3">
        <v>6</v>
      </c>
    </row>
    <row r="4" spans="1:7">
      <c r="A4" t="s">
        <v>20</v>
      </c>
      <c r="B4" t="s">
        <v>4</v>
      </c>
      <c r="D4">
        <v>5</v>
      </c>
      <c r="E4" s="2">
        <v>4</v>
      </c>
      <c r="F4" t="s">
        <v>17</v>
      </c>
      <c r="G4">
        <v>6</v>
      </c>
    </row>
    <row r="5" spans="1:7">
      <c r="A5" t="s">
        <v>21</v>
      </c>
      <c r="B5" t="s">
        <v>3</v>
      </c>
      <c r="C5" s="2">
        <v>14.9</v>
      </c>
      <c r="D5">
        <v>6</v>
      </c>
      <c r="E5" s="2">
        <v>4.3</v>
      </c>
      <c r="F5" t="s">
        <v>17</v>
      </c>
      <c r="G5">
        <v>5</v>
      </c>
    </row>
    <row r="6" spans="1:7">
      <c r="A6" t="s">
        <v>22</v>
      </c>
      <c r="B6" t="s">
        <v>3</v>
      </c>
      <c r="C6" s="2">
        <v>14.7</v>
      </c>
      <c r="D6">
        <v>6</v>
      </c>
      <c r="E6" s="2">
        <v>3.8</v>
      </c>
      <c r="F6" t="s">
        <v>19</v>
      </c>
      <c r="G6">
        <v>5</v>
      </c>
    </row>
    <row r="7" spans="1:7">
      <c r="A7" t="s">
        <v>23</v>
      </c>
      <c r="B7" t="s">
        <v>4</v>
      </c>
      <c r="C7" s="2">
        <v>18.600000000000001</v>
      </c>
      <c r="E7" s="2">
        <v>4.8</v>
      </c>
      <c r="F7" t="s">
        <v>17</v>
      </c>
      <c r="G7">
        <v>6</v>
      </c>
    </row>
    <row r="8" spans="1:7">
      <c r="A8" t="s">
        <v>24</v>
      </c>
      <c r="B8" t="s">
        <v>3</v>
      </c>
      <c r="C8" s="2">
        <v>14.5</v>
      </c>
      <c r="D8">
        <v>4</v>
      </c>
      <c r="E8" s="2">
        <v>3.3</v>
      </c>
      <c r="F8" t="s">
        <v>19</v>
      </c>
      <c r="G8">
        <v>8</v>
      </c>
    </row>
    <row r="9" spans="1:7">
      <c r="A9" t="s">
        <v>25</v>
      </c>
      <c r="B9" t="s">
        <v>4</v>
      </c>
      <c r="C9" s="2">
        <v>20.2</v>
      </c>
      <c r="D9">
        <v>5</v>
      </c>
      <c r="E9" s="2">
        <v>5.2</v>
      </c>
      <c r="F9" t="s">
        <v>19</v>
      </c>
      <c r="G9">
        <v>4</v>
      </c>
    </row>
    <row r="10" spans="1:7">
      <c r="A10" t="s">
        <v>26</v>
      </c>
      <c r="B10" t="s">
        <v>4</v>
      </c>
      <c r="C10" s="2">
        <v>19.399999999999999</v>
      </c>
      <c r="D10">
        <v>5</v>
      </c>
      <c r="E10" s="2">
        <v>4.8</v>
      </c>
      <c r="F10" t="s">
        <v>17</v>
      </c>
      <c r="G10">
        <v>4</v>
      </c>
    </row>
    <row r="11" spans="1:7">
      <c r="A11" t="s">
        <v>27</v>
      </c>
      <c r="B11" t="s">
        <v>3</v>
      </c>
      <c r="C11" s="2">
        <v>15.5</v>
      </c>
      <c r="D11">
        <v>5</v>
      </c>
      <c r="E11" s="2">
        <v>3.9</v>
      </c>
      <c r="F11" t="s">
        <v>19</v>
      </c>
      <c r="G11">
        <v>7</v>
      </c>
    </row>
    <row r="12" spans="1:7">
      <c r="A12" t="s">
        <v>28</v>
      </c>
      <c r="B12" t="s">
        <v>3</v>
      </c>
      <c r="C12" s="2">
        <v>13</v>
      </c>
      <c r="D12">
        <v>3</v>
      </c>
      <c r="E12" s="2">
        <v>3.1</v>
      </c>
      <c r="F12" t="s">
        <v>19</v>
      </c>
      <c r="G12">
        <v>4</v>
      </c>
    </row>
    <row r="13" spans="1:7">
      <c r="A13" t="s">
        <v>29</v>
      </c>
      <c r="B13" t="s">
        <v>3</v>
      </c>
      <c r="C13" s="2">
        <v>13.7</v>
      </c>
      <c r="D13">
        <v>4</v>
      </c>
      <c r="E13" s="2">
        <v>3.6</v>
      </c>
      <c r="F13" t="s">
        <v>19</v>
      </c>
      <c r="G13">
        <v>6</v>
      </c>
    </row>
    <row r="14" spans="1:7">
      <c r="A14" t="s">
        <v>30</v>
      </c>
      <c r="B14" t="s">
        <v>2</v>
      </c>
      <c r="C14" s="2">
        <v>16</v>
      </c>
      <c r="D14">
        <v>4</v>
      </c>
      <c r="E14" s="2">
        <v>3.3</v>
      </c>
      <c r="F14" t="s">
        <v>17</v>
      </c>
      <c r="G14">
        <v>7</v>
      </c>
    </row>
    <row r="15" spans="1:7">
      <c r="A15" t="s">
        <v>31</v>
      </c>
      <c r="B15" t="s">
        <v>4</v>
      </c>
      <c r="C15" s="2">
        <v>17.100000000000001</v>
      </c>
      <c r="D15">
        <v>7</v>
      </c>
      <c r="E15" s="2">
        <v>4.8</v>
      </c>
      <c r="F15" t="s">
        <v>19</v>
      </c>
      <c r="G15">
        <v>4</v>
      </c>
    </row>
    <row r="16" spans="1:7">
      <c r="A16" t="s">
        <v>32</v>
      </c>
      <c r="B16" t="s">
        <v>3</v>
      </c>
      <c r="C16" s="2">
        <v>14.5</v>
      </c>
      <c r="D16">
        <v>5</v>
      </c>
      <c r="E16" s="2">
        <v>3.4</v>
      </c>
      <c r="F16" t="s">
        <v>17</v>
      </c>
      <c r="G16">
        <v>6</v>
      </c>
    </row>
    <row r="17" spans="1:7">
      <c r="A17" t="s">
        <v>33</v>
      </c>
      <c r="B17" t="s">
        <v>4</v>
      </c>
      <c r="C17" s="2">
        <v>18.7</v>
      </c>
      <c r="D17">
        <v>6</v>
      </c>
      <c r="E17" s="2">
        <v>4.5999999999999996</v>
      </c>
      <c r="F17" t="s">
        <v>19</v>
      </c>
      <c r="G17">
        <v>5</v>
      </c>
    </row>
    <row r="18" spans="1:7">
      <c r="A18" t="s">
        <v>34</v>
      </c>
      <c r="B18" t="s">
        <v>2</v>
      </c>
      <c r="C18" s="2">
        <v>13.2</v>
      </c>
      <c r="D18">
        <v>6</v>
      </c>
      <c r="E18" s="2">
        <v>3.7</v>
      </c>
      <c r="F18" t="s">
        <v>19</v>
      </c>
      <c r="G18">
        <v>5</v>
      </c>
    </row>
    <row r="19" spans="1:7">
      <c r="A19" t="s">
        <v>35</v>
      </c>
      <c r="B19" t="s">
        <v>4</v>
      </c>
      <c r="C19" s="2">
        <v>17.899999999999999</v>
      </c>
      <c r="D19">
        <v>7</v>
      </c>
      <c r="E19" s="2">
        <v>4.8</v>
      </c>
      <c r="F19" t="s">
        <v>17</v>
      </c>
      <c r="G19">
        <v>8</v>
      </c>
    </row>
    <row r="20" spans="1:7">
      <c r="A20" t="s">
        <v>36</v>
      </c>
      <c r="B20" t="s">
        <v>3</v>
      </c>
      <c r="C20" s="2">
        <v>17.7</v>
      </c>
      <c r="D20">
        <v>4</v>
      </c>
      <c r="E20" s="2">
        <v>4.4000000000000004</v>
      </c>
      <c r="F20" t="s">
        <v>17</v>
      </c>
      <c r="G20">
        <v>6</v>
      </c>
    </row>
    <row r="21" spans="1:7">
      <c r="A21" t="s">
        <v>37</v>
      </c>
      <c r="B21" t="s">
        <v>3</v>
      </c>
      <c r="C21" s="2">
        <v>14.6</v>
      </c>
      <c r="D21">
        <v>3</v>
      </c>
      <c r="E21" s="2">
        <v>4.5</v>
      </c>
      <c r="F21" t="s">
        <v>19</v>
      </c>
      <c r="G21">
        <v>8</v>
      </c>
    </row>
    <row r="22" spans="1:7">
      <c r="A22" t="s">
        <v>38</v>
      </c>
      <c r="B22" t="s">
        <v>3</v>
      </c>
      <c r="C22" s="2">
        <v>14.9</v>
      </c>
      <c r="D22">
        <v>7</v>
      </c>
      <c r="E22" s="2">
        <v>4.0999999999999996</v>
      </c>
      <c r="F22" t="s">
        <v>17</v>
      </c>
      <c r="G22">
        <v>5</v>
      </c>
    </row>
    <row r="23" spans="1:7">
      <c r="A23" t="s">
        <v>39</v>
      </c>
      <c r="B23" t="s">
        <v>2</v>
      </c>
      <c r="C23" s="2">
        <v>15.5</v>
      </c>
      <c r="D23">
        <v>5</v>
      </c>
      <c r="E23" s="2">
        <v>4.0999999999999996</v>
      </c>
      <c r="F23" t="s">
        <v>19</v>
      </c>
      <c r="G23">
        <v>7</v>
      </c>
    </row>
    <row r="24" spans="1:7">
      <c r="A24" t="s">
        <v>40</v>
      </c>
      <c r="B24" t="s">
        <v>3</v>
      </c>
      <c r="C24" s="2">
        <v>15.3</v>
      </c>
      <c r="D24">
        <v>5</v>
      </c>
      <c r="E24" s="2">
        <v>3.9</v>
      </c>
      <c r="F24" t="s">
        <v>17</v>
      </c>
      <c r="G24">
        <v>6</v>
      </c>
    </row>
    <row r="25" spans="1:7">
      <c r="A25" t="s">
        <v>41</v>
      </c>
      <c r="B25" t="s">
        <v>2</v>
      </c>
      <c r="C25" s="2">
        <v>13.9</v>
      </c>
      <c r="D25">
        <v>3</v>
      </c>
      <c r="E25" s="2">
        <v>3.4</v>
      </c>
      <c r="F25" t="s">
        <v>19</v>
      </c>
      <c r="G25">
        <v>6</v>
      </c>
    </row>
    <row r="26" spans="1:7">
      <c r="A26" t="s">
        <v>42</v>
      </c>
      <c r="B26" t="s">
        <v>2</v>
      </c>
      <c r="C26" s="2">
        <v>16.5</v>
      </c>
      <c r="D26">
        <v>3</v>
      </c>
      <c r="E26" s="2">
        <v>4.7</v>
      </c>
      <c r="F26" t="s">
        <v>19</v>
      </c>
      <c r="G26">
        <v>4</v>
      </c>
    </row>
    <row r="27" spans="1:7">
      <c r="A27" t="s">
        <v>43</v>
      </c>
      <c r="B27" t="s">
        <v>3</v>
      </c>
      <c r="C27" s="2">
        <v>14.2</v>
      </c>
      <c r="D27">
        <v>5</v>
      </c>
      <c r="E27" s="2">
        <v>3.9</v>
      </c>
      <c r="F27" t="s">
        <v>17</v>
      </c>
      <c r="G27">
        <v>8</v>
      </c>
    </row>
    <row r="28" spans="1:7">
      <c r="A28" t="s">
        <v>44</v>
      </c>
      <c r="B28" t="s">
        <v>2</v>
      </c>
      <c r="C28" s="2">
        <v>13.5</v>
      </c>
      <c r="D28">
        <v>3</v>
      </c>
      <c r="E28" s="2">
        <v>3.8</v>
      </c>
      <c r="F28" t="s">
        <v>19</v>
      </c>
      <c r="G28">
        <v>6</v>
      </c>
    </row>
    <row r="29" spans="1:7">
      <c r="A29" t="s">
        <v>45</v>
      </c>
      <c r="B29" t="s">
        <v>2</v>
      </c>
      <c r="C29" s="2">
        <v>10.9</v>
      </c>
      <c r="D29">
        <v>3</v>
      </c>
      <c r="E29" s="2">
        <v>2.4</v>
      </c>
      <c r="F29" t="s">
        <v>17</v>
      </c>
      <c r="G29">
        <v>4</v>
      </c>
    </row>
    <row r="30" spans="1:7">
      <c r="A30" t="s">
        <v>46</v>
      </c>
      <c r="B30" t="s">
        <v>4</v>
      </c>
      <c r="C30" s="2">
        <v>19.100000000000001</v>
      </c>
      <c r="D30">
        <v>7</v>
      </c>
      <c r="E30" s="2">
        <v>4.8</v>
      </c>
      <c r="F30" t="s">
        <v>19</v>
      </c>
      <c r="G30">
        <v>7</v>
      </c>
    </row>
    <row r="31" spans="1:7">
      <c r="A31" t="s">
        <v>47</v>
      </c>
      <c r="B31" t="s">
        <v>3</v>
      </c>
      <c r="C31" s="2">
        <v>17.3</v>
      </c>
      <c r="D31">
        <v>6</v>
      </c>
      <c r="E31" s="2">
        <v>4.7</v>
      </c>
      <c r="F31" t="s">
        <v>19</v>
      </c>
      <c r="G31">
        <v>4</v>
      </c>
    </row>
    <row r="32" spans="1:7">
      <c r="A32" t="s">
        <v>48</v>
      </c>
      <c r="B32" t="s">
        <v>4</v>
      </c>
      <c r="C32" s="2">
        <v>16.8</v>
      </c>
      <c r="D32">
        <v>6</v>
      </c>
      <c r="E32" s="2">
        <v>4.2</v>
      </c>
      <c r="F32" t="s">
        <v>19</v>
      </c>
      <c r="G32">
        <v>6</v>
      </c>
    </row>
    <row r="33" spans="1:7">
      <c r="A33" t="s">
        <v>49</v>
      </c>
      <c r="B33" t="s">
        <v>3</v>
      </c>
      <c r="C33" s="2">
        <v>17.100000000000001</v>
      </c>
      <c r="D33">
        <v>4</v>
      </c>
      <c r="E33" s="2">
        <v>4.3</v>
      </c>
      <c r="F33" t="s">
        <v>19</v>
      </c>
      <c r="G33">
        <v>8</v>
      </c>
    </row>
    <row r="34" spans="1:7">
      <c r="A34" t="s">
        <v>50</v>
      </c>
      <c r="B34" t="s">
        <v>2</v>
      </c>
      <c r="C34" s="2">
        <v>10.199999999999999</v>
      </c>
      <c r="D34">
        <v>5</v>
      </c>
      <c r="E34" s="2">
        <v>2.6</v>
      </c>
      <c r="F34" t="s">
        <v>17</v>
      </c>
      <c r="G34">
        <v>5</v>
      </c>
    </row>
    <row r="35" spans="1:7">
      <c r="A35" t="s">
        <v>51</v>
      </c>
      <c r="B35" t="s">
        <v>4</v>
      </c>
      <c r="C35" s="2">
        <v>18.100000000000001</v>
      </c>
      <c r="D35">
        <v>6</v>
      </c>
      <c r="E35" s="2">
        <v>4.9000000000000004</v>
      </c>
      <c r="F35" t="s">
        <v>19</v>
      </c>
      <c r="G35">
        <v>9</v>
      </c>
    </row>
    <row r="36" spans="1:7">
      <c r="A36" t="s">
        <v>52</v>
      </c>
      <c r="B36" t="s">
        <v>2</v>
      </c>
      <c r="C36" s="2">
        <v>13.2</v>
      </c>
      <c r="D36">
        <v>4</v>
      </c>
      <c r="E36" s="2">
        <v>3.5</v>
      </c>
      <c r="F36" t="s">
        <v>17</v>
      </c>
      <c r="G36">
        <v>7</v>
      </c>
    </row>
    <row r="37" spans="1:7">
      <c r="A37" t="s">
        <v>53</v>
      </c>
      <c r="B37" t="s">
        <v>2</v>
      </c>
      <c r="C37" s="2">
        <v>16.7</v>
      </c>
      <c r="D37">
        <v>4</v>
      </c>
      <c r="E37" s="2">
        <v>4.0999999999999996</v>
      </c>
      <c r="F37" t="s">
        <v>19</v>
      </c>
      <c r="G37">
        <v>8</v>
      </c>
    </row>
    <row r="38" spans="1:7">
      <c r="A38" t="s">
        <v>54</v>
      </c>
      <c r="B38" t="s">
        <v>3</v>
      </c>
      <c r="C38" s="2">
        <v>17</v>
      </c>
      <c r="D38">
        <v>4</v>
      </c>
      <c r="E38" s="2">
        <v>4.7</v>
      </c>
      <c r="F38" t="s">
        <v>19</v>
      </c>
      <c r="G38">
        <v>4</v>
      </c>
    </row>
    <row r="39" spans="1:7">
      <c r="A39" t="s">
        <v>55</v>
      </c>
      <c r="B39" t="s">
        <v>4</v>
      </c>
      <c r="C39" s="2">
        <v>16.899999999999999</v>
      </c>
      <c r="D39">
        <v>5</v>
      </c>
      <c r="E39" s="2">
        <v>3.9</v>
      </c>
      <c r="F39" t="s">
        <v>17</v>
      </c>
      <c r="G39">
        <v>4</v>
      </c>
    </row>
    <row r="40" spans="1:7">
      <c r="A40" t="s">
        <v>56</v>
      </c>
      <c r="B40" t="s">
        <v>2</v>
      </c>
      <c r="C40" s="2">
        <v>14.1</v>
      </c>
      <c r="D40">
        <v>4</v>
      </c>
      <c r="E40" s="2">
        <v>3.9</v>
      </c>
      <c r="F40" t="s">
        <v>19</v>
      </c>
      <c r="G40">
        <v>4</v>
      </c>
    </row>
    <row r="41" spans="1:7">
      <c r="A41" t="s">
        <v>57</v>
      </c>
      <c r="B41" t="s">
        <v>4</v>
      </c>
      <c r="C41" s="2">
        <v>14.7</v>
      </c>
      <c r="D41">
        <v>5</v>
      </c>
      <c r="E41" s="2">
        <v>3.6</v>
      </c>
      <c r="F41" t="s">
        <v>19</v>
      </c>
      <c r="G41">
        <v>7</v>
      </c>
    </row>
    <row r="42" spans="1:7">
      <c r="A42" t="s">
        <v>58</v>
      </c>
      <c r="B42" t="s">
        <v>2</v>
      </c>
      <c r="C42" s="2">
        <v>12.9</v>
      </c>
      <c r="D42">
        <v>5</v>
      </c>
      <c r="E42" s="2">
        <v>3.7</v>
      </c>
      <c r="F42" t="s">
        <v>17</v>
      </c>
      <c r="G42">
        <v>4</v>
      </c>
    </row>
    <row r="43" spans="1:7">
      <c r="A43" t="s">
        <v>59</v>
      </c>
      <c r="B43" t="s">
        <v>2</v>
      </c>
      <c r="C43" s="2">
        <v>15.7</v>
      </c>
      <c r="D43">
        <v>3</v>
      </c>
      <c r="E43" s="2">
        <v>3.6</v>
      </c>
      <c r="F43" t="s">
        <v>19</v>
      </c>
      <c r="G43">
        <v>5</v>
      </c>
    </row>
    <row r="44" spans="1:7">
      <c r="A44" t="s">
        <v>60</v>
      </c>
      <c r="B44" t="s">
        <v>3</v>
      </c>
      <c r="C44" s="2">
        <v>17.2</v>
      </c>
      <c r="D44">
        <v>5</v>
      </c>
      <c r="E44" s="2">
        <v>4.0999999999999996</v>
      </c>
      <c r="F44" t="s">
        <v>19</v>
      </c>
      <c r="G44">
        <v>7</v>
      </c>
    </row>
    <row r="45" spans="1:7">
      <c r="A45" t="s">
        <v>61</v>
      </c>
      <c r="B45" t="s">
        <v>3</v>
      </c>
      <c r="C45" s="2">
        <v>15.5</v>
      </c>
      <c r="D45">
        <v>5</v>
      </c>
      <c r="E45" s="2">
        <v>4</v>
      </c>
      <c r="F45" t="s">
        <v>19</v>
      </c>
      <c r="G45">
        <v>5</v>
      </c>
    </row>
    <row r="46" spans="1:7">
      <c r="A46" t="s">
        <v>62</v>
      </c>
      <c r="B46" t="s">
        <v>3</v>
      </c>
      <c r="C46" s="2">
        <v>17.2</v>
      </c>
      <c r="D46">
        <v>4</v>
      </c>
      <c r="E46" s="2">
        <v>4.3</v>
      </c>
      <c r="F46" t="s">
        <v>19</v>
      </c>
      <c r="G46">
        <v>5</v>
      </c>
    </row>
    <row r="47" spans="1:7">
      <c r="A47" t="s">
        <v>63</v>
      </c>
      <c r="B47" t="s">
        <v>4</v>
      </c>
      <c r="C47" s="2">
        <v>17.7</v>
      </c>
      <c r="D47">
        <v>5</v>
      </c>
      <c r="E47" s="2">
        <v>4.2</v>
      </c>
      <c r="F47" t="s">
        <v>19</v>
      </c>
      <c r="G47">
        <v>5</v>
      </c>
    </row>
    <row r="48" spans="1:7">
      <c r="A48" t="s">
        <v>64</v>
      </c>
      <c r="B48" t="s">
        <v>2</v>
      </c>
      <c r="C48" s="2">
        <v>13.4</v>
      </c>
      <c r="D48">
        <v>3</v>
      </c>
      <c r="E48" s="2">
        <v>3.8</v>
      </c>
      <c r="F48" t="s">
        <v>19</v>
      </c>
      <c r="G48">
        <v>5</v>
      </c>
    </row>
    <row r="49" spans="1:7">
      <c r="A49" t="s">
        <v>65</v>
      </c>
      <c r="B49" t="s">
        <v>4</v>
      </c>
      <c r="C49" s="2">
        <v>17.3</v>
      </c>
      <c r="D49">
        <v>4</v>
      </c>
      <c r="E49" s="2">
        <v>3.9</v>
      </c>
      <c r="F49" t="s">
        <v>19</v>
      </c>
      <c r="G49">
        <v>8</v>
      </c>
    </row>
    <row r="50" spans="1:7">
      <c r="A50" t="s">
        <v>66</v>
      </c>
      <c r="B50" t="s">
        <v>3</v>
      </c>
      <c r="C50" s="2">
        <v>15.2</v>
      </c>
      <c r="D50">
        <v>4</v>
      </c>
      <c r="E50" s="2">
        <v>1.2</v>
      </c>
      <c r="F50" t="s">
        <v>17</v>
      </c>
      <c r="G50">
        <v>6</v>
      </c>
    </row>
    <row r="51" spans="1:7">
      <c r="A51" t="s">
        <v>67</v>
      </c>
      <c r="B51" t="s">
        <v>4</v>
      </c>
      <c r="C51" s="2">
        <v>18.2</v>
      </c>
      <c r="D51">
        <v>5</v>
      </c>
      <c r="E51" s="2">
        <v>5</v>
      </c>
      <c r="F51" t="s">
        <v>19</v>
      </c>
      <c r="G51">
        <v>5</v>
      </c>
    </row>
    <row r="52" spans="1:7">
      <c r="A52" t="s">
        <v>68</v>
      </c>
      <c r="B52" t="s">
        <v>2</v>
      </c>
      <c r="C52" s="2">
        <v>13.7</v>
      </c>
      <c r="D52">
        <v>4</v>
      </c>
      <c r="E52" s="2">
        <v>3.5</v>
      </c>
      <c r="F52" t="s">
        <v>19</v>
      </c>
      <c r="G52">
        <v>7</v>
      </c>
    </row>
    <row r="53" spans="1:7">
      <c r="A53" t="s">
        <v>69</v>
      </c>
      <c r="B53" t="s">
        <v>3</v>
      </c>
      <c r="C53" s="2">
        <v>15.4</v>
      </c>
      <c r="D53">
        <v>4</v>
      </c>
      <c r="E53" s="2">
        <v>3.8</v>
      </c>
      <c r="F53" t="s">
        <v>19</v>
      </c>
      <c r="G53">
        <v>5</v>
      </c>
    </row>
    <row r="54" spans="1:7">
      <c r="A54" t="s">
        <v>70</v>
      </c>
      <c r="B54" t="s">
        <v>3</v>
      </c>
      <c r="C54" s="2">
        <v>18.100000000000001</v>
      </c>
      <c r="D54">
        <v>5</v>
      </c>
      <c r="E54" s="2">
        <v>5</v>
      </c>
      <c r="F54" t="s">
        <v>17</v>
      </c>
      <c r="G54">
        <v>7</v>
      </c>
    </row>
    <row r="55" spans="1:7">
      <c r="A55" t="s">
        <v>71</v>
      </c>
      <c r="B55" t="s">
        <v>4</v>
      </c>
      <c r="C55" s="2">
        <v>20.5</v>
      </c>
      <c r="D55">
        <v>5</v>
      </c>
      <c r="E55" s="2">
        <v>5.2</v>
      </c>
      <c r="F55" t="s">
        <v>17</v>
      </c>
      <c r="G55">
        <v>7</v>
      </c>
    </row>
    <row r="56" spans="1:7">
      <c r="A56" t="s">
        <v>72</v>
      </c>
      <c r="B56" t="s">
        <v>3</v>
      </c>
      <c r="C56" s="2">
        <v>19.600000000000001</v>
      </c>
      <c r="D56">
        <v>5</v>
      </c>
      <c r="E56" s="2">
        <v>5.3</v>
      </c>
      <c r="F56" t="s">
        <v>19</v>
      </c>
      <c r="G56">
        <v>4</v>
      </c>
    </row>
    <row r="57" spans="1:7">
      <c r="A57" t="s">
        <v>73</v>
      </c>
      <c r="B57" t="s">
        <v>2</v>
      </c>
      <c r="C57" s="2">
        <v>13.6</v>
      </c>
      <c r="D57">
        <v>4</v>
      </c>
      <c r="E57" s="2">
        <v>3</v>
      </c>
      <c r="F57" t="s">
        <v>19</v>
      </c>
      <c r="G57">
        <v>8</v>
      </c>
    </row>
    <row r="58" spans="1:7">
      <c r="A58" t="s">
        <v>74</v>
      </c>
      <c r="B58" t="s">
        <v>2</v>
      </c>
      <c r="C58" s="2">
        <v>11.5</v>
      </c>
      <c r="D58">
        <v>4</v>
      </c>
      <c r="E58" s="2">
        <v>3.3</v>
      </c>
      <c r="F58" t="s">
        <v>19</v>
      </c>
      <c r="G58">
        <v>6</v>
      </c>
    </row>
    <row r="59" spans="1:7">
      <c r="A59" t="s">
        <v>75</v>
      </c>
      <c r="B59" t="s">
        <v>2</v>
      </c>
      <c r="C59" s="2">
        <v>11.1</v>
      </c>
      <c r="D59">
        <v>3</v>
      </c>
      <c r="E59" s="2">
        <v>3.4</v>
      </c>
      <c r="F59" t="s">
        <v>17</v>
      </c>
      <c r="G59">
        <v>8</v>
      </c>
    </row>
    <row r="60" spans="1:7">
      <c r="A60" t="s">
        <v>76</v>
      </c>
      <c r="B60" t="s">
        <v>2</v>
      </c>
      <c r="C60" s="2">
        <v>16.600000000000001</v>
      </c>
      <c r="D60">
        <v>7</v>
      </c>
      <c r="E60" s="2">
        <v>4.3</v>
      </c>
      <c r="F60" t="s">
        <v>19</v>
      </c>
      <c r="G60">
        <v>6</v>
      </c>
    </row>
    <row r="61" spans="1:7">
      <c r="A61" t="s">
        <v>77</v>
      </c>
      <c r="B61" t="s">
        <v>3</v>
      </c>
      <c r="C61" s="2">
        <v>16.2</v>
      </c>
      <c r="D61">
        <v>7</v>
      </c>
      <c r="E61" s="2">
        <v>4</v>
      </c>
      <c r="F61" t="s">
        <v>19</v>
      </c>
      <c r="G61">
        <v>8</v>
      </c>
    </row>
    <row r="62" spans="1:7">
      <c r="A62" t="s">
        <v>78</v>
      </c>
      <c r="B62" t="s">
        <v>3</v>
      </c>
      <c r="C62" s="2">
        <v>13.1</v>
      </c>
      <c r="D62">
        <v>5</v>
      </c>
      <c r="E62" s="2">
        <v>3.5</v>
      </c>
      <c r="F62" t="s">
        <v>17</v>
      </c>
      <c r="G62">
        <v>4</v>
      </c>
    </row>
    <row r="63" spans="1:7">
      <c r="A63" t="s">
        <v>79</v>
      </c>
      <c r="B63" t="s">
        <v>4</v>
      </c>
      <c r="C63" s="2">
        <v>18.3</v>
      </c>
      <c r="D63">
        <v>7</v>
      </c>
      <c r="E63" s="2">
        <v>4.5</v>
      </c>
      <c r="F63" t="s">
        <v>19</v>
      </c>
      <c r="G63">
        <v>7</v>
      </c>
    </row>
    <row r="64" spans="1:7">
      <c r="A64" t="s">
        <v>80</v>
      </c>
      <c r="B64" t="s">
        <v>2</v>
      </c>
      <c r="C64" s="2">
        <v>12.1</v>
      </c>
      <c r="D64">
        <v>4</v>
      </c>
      <c r="E64" s="2">
        <v>3.1</v>
      </c>
      <c r="F64" t="s">
        <v>17</v>
      </c>
      <c r="G64">
        <v>6</v>
      </c>
    </row>
    <row r="65" spans="1:7">
      <c r="A65" t="s">
        <v>81</v>
      </c>
      <c r="B65" t="s">
        <v>2</v>
      </c>
      <c r="C65" s="2">
        <v>12.9</v>
      </c>
      <c r="D65">
        <v>3</v>
      </c>
      <c r="E65" s="2">
        <v>3.7</v>
      </c>
      <c r="F65" t="s">
        <v>17</v>
      </c>
      <c r="G65">
        <v>6</v>
      </c>
    </row>
    <row r="66" spans="1:7">
      <c r="A66" t="s">
        <v>82</v>
      </c>
      <c r="B66" t="s">
        <v>4</v>
      </c>
      <c r="C66" s="2">
        <v>14.9</v>
      </c>
      <c r="D66">
        <v>6</v>
      </c>
      <c r="E66" s="2">
        <v>3.7</v>
      </c>
      <c r="F66" t="s">
        <v>19</v>
      </c>
      <c r="G66">
        <v>8</v>
      </c>
    </row>
    <row r="67" spans="1:7">
      <c r="A67" t="s">
        <v>83</v>
      </c>
      <c r="B67" t="s">
        <v>4</v>
      </c>
      <c r="C67" s="2">
        <v>20</v>
      </c>
      <c r="D67">
        <v>7</v>
      </c>
      <c r="E67" s="2">
        <v>4.9000000000000004</v>
      </c>
      <c r="F67" t="s">
        <v>19</v>
      </c>
      <c r="G67">
        <v>8</v>
      </c>
    </row>
    <row r="68" spans="1:7">
      <c r="A68" t="s">
        <v>84</v>
      </c>
      <c r="B68" t="s">
        <v>3</v>
      </c>
      <c r="C68" s="2">
        <v>18.8</v>
      </c>
      <c r="D68">
        <v>5</v>
      </c>
      <c r="E68" s="2">
        <v>4.5</v>
      </c>
      <c r="F68" t="s">
        <v>19</v>
      </c>
      <c r="G68">
        <v>5</v>
      </c>
    </row>
    <row r="69" spans="1:7">
      <c r="A69" t="s">
        <v>85</v>
      </c>
      <c r="B69" t="s">
        <v>3</v>
      </c>
      <c r="C69" s="2">
        <v>13.5</v>
      </c>
      <c r="D69">
        <v>4</v>
      </c>
      <c r="E69" s="2">
        <v>3.9</v>
      </c>
      <c r="F69" t="s">
        <v>19</v>
      </c>
      <c r="G69">
        <v>6</v>
      </c>
    </row>
    <row r="70" spans="1:7">
      <c r="A70" t="s">
        <v>86</v>
      </c>
      <c r="B70" t="s">
        <v>3</v>
      </c>
      <c r="C70" s="2">
        <v>17.5</v>
      </c>
      <c r="D70">
        <v>10</v>
      </c>
      <c r="E70" s="2">
        <v>4.4000000000000004</v>
      </c>
      <c r="F70" t="s">
        <v>19</v>
      </c>
      <c r="G70">
        <v>5</v>
      </c>
    </row>
    <row r="71" spans="1:7">
      <c r="A71" t="s">
        <v>87</v>
      </c>
      <c r="B71" t="s">
        <v>4</v>
      </c>
      <c r="C71" s="2">
        <v>19.3</v>
      </c>
      <c r="D71">
        <v>4</v>
      </c>
      <c r="E71" s="2">
        <v>4.8</v>
      </c>
      <c r="F71" t="s">
        <v>17</v>
      </c>
      <c r="G71">
        <v>4</v>
      </c>
    </row>
    <row r="72" spans="1:7">
      <c r="A72" t="s">
        <v>88</v>
      </c>
      <c r="B72" t="s">
        <v>3</v>
      </c>
      <c r="C72" s="2">
        <v>16.5</v>
      </c>
      <c r="D72">
        <v>5</v>
      </c>
      <c r="E72" s="2">
        <v>3.8</v>
      </c>
      <c r="F72" t="s">
        <v>19</v>
      </c>
      <c r="G72">
        <v>6</v>
      </c>
    </row>
    <row r="73" spans="1:7">
      <c r="A73" t="s">
        <v>89</v>
      </c>
      <c r="B73" t="s">
        <v>2</v>
      </c>
      <c r="C73" s="2">
        <v>12.8</v>
      </c>
      <c r="D73">
        <v>3</v>
      </c>
      <c r="E73" s="2">
        <v>3.7</v>
      </c>
      <c r="F73" t="s">
        <v>17</v>
      </c>
      <c r="G73">
        <v>7</v>
      </c>
    </row>
    <row r="74" spans="1:7">
      <c r="A74" t="s">
        <v>90</v>
      </c>
      <c r="B74" t="s">
        <v>3</v>
      </c>
      <c r="C74" s="2">
        <v>17.399999999999999</v>
      </c>
      <c r="D74">
        <v>4</v>
      </c>
      <c r="E74" s="2">
        <v>4.0999999999999996</v>
      </c>
      <c r="F74" t="s">
        <v>17</v>
      </c>
      <c r="G74">
        <v>5</v>
      </c>
    </row>
    <row r="75" spans="1:7">
      <c r="A75" t="s">
        <v>91</v>
      </c>
      <c r="B75" t="s">
        <v>4</v>
      </c>
      <c r="C75" s="2">
        <v>14.5</v>
      </c>
      <c r="D75">
        <v>6</v>
      </c>
      <c r="E75" s="2">
        <v>3.7</v>
      </c>
      <c r="F75" t="s">
        <v>19</v>
      </c>
      <c r="G75">
        <v>4</v>
      </c>
    </row>
    <row r="76" spans="1:7">
      <c r="A76" t="s">
        <v>92</v>
      </c>
      <c r="B76" t="s">
        <v>2</v>
      </c>
      <c r="C76" s="2">
        <v>14</v>
      </c>
      <c r="D76">
        <v>4</v>
      </c>
      <c r="E76" s="2">
        <v>3.2</v>
      </c>
      <c r="F76" t="s">
        <v>19</v>
      </c>
      <c r="G76">
        <v>8</v>
      </c>
    </row>
    <row r="77" spans="1:7">
      <c r="A77" t="s">
        <v>93</v>
      </c>
      <c r="B77" t="s">
        <v>4</v>
      </c>
      <c r="C77" s="2">
        <v>16.3</v>
      </c>
      <c r="D77">
        <v>4</v>
      </c>
      <c r="E77" s="2">
        <v>4.4000000000000004</v>
      </c>
      <c r="F77" t="s">
        <v>19</v>
      </c>
      <c r="G77">
        <v>8</v>
      </c>
    </row>
    <row r="78" spans="1:7">
      <c r="A78" t="s">
        <v>94</v>
      </c>
      <c r="B78" t="s">
        <v>3</v>
      </c>
      <c r="C78" s="2">
        <v>14</v>
      </c>
      <c r="D78">
        <v>5</v>
      </c>
      <c r="E78" s="2">
        <v>3.8</v>
      </c>
      <c r="F78" t="s">
        <v>17</v>
      </c>
      <c r="G78">
        <v>6</v>
      </c>
    </row>
    <row r="79" spans="1:7">
      <c r="A79" t="s">
        <v>95</v>
      </c>
      <c r="B79" t="s">
        <v>3</v>
      </c>
      <c r="C79" s="2">
        <v>16.3</v>
      </c>
      <c r="D79">
        <v>5</v>
      </c>
      <c r="E79" s="2">
        <v>3.7</v>
      </c>
      <c r="F79" t="s">
        <v>19</v>
      </c>
      <c r="G79">
        <v>8</v>
      </c>
    </row>
    <row r="80" spans="1:7">
      <c r="A80" t="s">
        <v>96</v>
      </c>
      <c r="B80" t="s">
        <v>4</v>
      </c>
      <c r="D80">
        <v>5</v>
      </c>
      <c r="E80" s="2">
        <v>4.7</v>
      </c>
      <c r="F80" t="s">
        <v>19</v>
      </c>
      <c r="G80">
        <v>8</v>
      </c>
    </row>
    <row r="81" spans="1:7">
      <c r="A81" t="s">
        <v>97</v>
      </c>
      <c r="B81" t="s">
        <v>3</v>
      </c>
      <c r="C81" s="2">
        <v>17.2</v>
      </c>
      <c r="D81">
        <v>3</v>
      </c>
      <c r="E81" s="2">
        <v>4.0999999999999996</v>
      </c>
      <c r="F81" t="s">
        <v>17</v>
      </c>
      <c r="G81">
        <v>6</v>
      </c>
    </row>
    <row r="82" spans="1:7">
      <c r="A82" t="s">
        <v>98</v>
      </c>
      <c r="B82" t="s">
        <v>3</v>
      </c>
      <c r="C82" s="2">
        <v>16.3</v>
      </c>
      <c r="D82">
        <v>6</v>
      </c>
      <c r="E82" s="2">
        <v>3.9</v>
      </c>
      <c r="F82" t="s">
        <v>17</v>
      </c>
      <c r="G82">
        <v>8</v>
      </c>
    </row>
    <row r="83" spans="1:7">
      <c r="A83" t="s">
        <v>99</v>
      </c>
      <c r="B83" t="s">
        <v>3</v>
      </c>
      <c r="C83" s="2">
        <v>17.3</v>
      </c>
      <c r="D83">
        <v>5</v>
      </c>
      <c r="E83" s="2">
        <v>4.5</v>
      </c>
      <c r="F83" t="s">
        <v>19</v>
      </c>
      <c r="G83">
        <v>5</v>
      </c>
    </row>
    <row r="84" spans="1:7">
      <c r="A84" t="s">
        <v>100</v>
      </c>
      <c r="B84" t="s">
        <v>2</v>
      </c>
      <c r="C84" s="2">
        <v>13.1</v>
      </c>
      <c r="D84">
        <v>4</v>
      </c>
      <c r="E84" s="2">
        <v>3.1</v>
      </c>
      <c r="F84" t="s">
        <v>19</v>
      </c>
      <c r="G84">
        <v>5</v>
      </c>
    </row>
    <row r="85" spans="1:7">
      <c r="A85" t="s">
        <v>101</v>
      </c>
      <c r="B85" t="s">
        <v>3</v>
      </c>
      <c r="C85" s="2">
        <v>17.2</v>
      </c>
      <c r="D85">
        <v>5</v>
      </c>
      <c r="E85" s="2">
        <v>4.3</v>
      </c>
      <c r="F85" t="s">
        <v>19</v>
      </c>
      <c r="G85">
        <v>7</v>
      </c>
    </row>
    <row r="86" spans="1:7">
      <c r="A86" t="s">
        <v>102</v>
      </c>
      <c r="B86" t="s">
        <v>2</v>
      </c>
      <c r="C86" s="2">
        <v>10.4</v>
      </c>
      <c r="D86">
        <v>4</v>
      </c>
      <c r="E86" s="2">
        <v>3.1</v>
      </c>
      <c r="F86" t="s">
        <v>17</v>
      </c>
      <c r="G86">
        <v>6</v>
      </c>
    </row>
    <row r="87" spans="1:7">
      <c r="A87" t="s">
        <v>103</v>
      </c>
      <c r="B87" t="s">
        <v>3</v>
      </c>
      <c r="C87" s="2">
        <v>16.600000000000001</v>
      </c>
      <c r="D87">
        <v>4</v>
      </c>
      <c r="E87" s="2">
        <v>3.9</v>
      </c>
      <c r="F87" t="s">
        <v>17</v>
      </c>
      <c r="G87">
        <v>4</v>
      </c>
    </row>
    <row r="88" spans="1:7">
      <c r="A88" t="s">
        <v>104</v>
      </c>
      <c r="B88" t="s">
        <v>4</v>
      </c>
      <c r="C88" s="2">
        <v>15.2</v>
      </c>
      <c r="D88">
        <v>4</v>
      </c>
      <c r="E88" s="2">
        <v>3.9</v>
      </c>
      <c r="F88" t="s">
        <v>17</v>
      </c>
      <c r="G88">
        <v>5</v>
      </c>
    </row>
    <row r="89" spans="1:7">
      <c r="A89" t="s">
        <v>105</v>
      </c>
      <c r="B89" t="s">
        <v>2</v>
      </c>
      <c r="C89" s="2">
        <v>13.2</v>
      </c>
      <c r="D89">
        <v>4</v>
      </c>
      <c r="E89" s="2">
        <v>3.5</v>
      </c>
      <c r="F89" t="s">
        <v>17</v>
      </c>
      <c r="G89">
        <v>8</v>
      </c>
    </row>
    <row r="90" spans="1:7">
      <c r="A90" t="s">
        <v>106</v>
      </c>
      <c r="B90" t="s">
        <v>4</v>
      </c>
      <c r="C90" s="2">
        <v>19.600000000000001</v>
      </c>
      <c r="D90">
        <v>4</v>
      </c>
      <c r="E90" s="2">
        <v>5.0999999999999996</v>
      </c>
      <c r="F90" t="s">
        <v>19</v>
      </c>
      <c r="G90">
        <v>7</v>
      </c>
    </row>
    <row r="91" spans="1:7">
      <c r="A91" t="s">
        <v>107</v>
      </c>
      <c r="B91" t="s">
        <v>3</v>
      </c>
      <c r="C91" s="2">
        <v>18.399999999999999</v>
      </c>
      <c r="D91">
        <v>6</v>
      </c>
      <c r="E91" s="2">
        <v>4.8</v>
      </c>
      <c r="F91" t="s">
        <v>17</v>
      </c>
      <c r="G91">
        <v>4</v>
      </c>
    </row>
    <row r="92" spans="1:7">
      <c r="A92" t="s">
        <v>108</v>
      </c>
      <c r="B92" t="s">
        <v>4</v>
      </c>
      <c r="C92" s="2">
        <v>16.899999999999999</v>
      </c>
      <c r="D92">
        <v>7</v>
      </c>
      <c r="E92" s="2">
        <v>4.5</v>
      </c>
      <c r="F92" t="s">
        <v>19</v>
      </c>
      <c r="G92">
        <v>8</v>
      </c>
    </row>
    <row r="93" spans="1:7">
      <c r="A93" t="s">
        <v>109</v>
      </c>
      <c r="B93" t="s">
        <v>4</v>
      </c>
      <c r="C93" s="2">
        <v>19.5</v>
      </c>
      <c r="D93">
        <v>8</v>
      </c>
      <c r="E93" s="2">
        <v>4.8</v>
      </c>
      <c r="F93" t="s">
        <v>19</v>
      </c>
      <c r="G93">
        <v>6</v>
      </c>
    </row>
    <row r="94" spans="1:7">
      <c r="A94" t="s">
        <v>110</v>
      </c>
      <c r="B94" t="s">
        <v>4</v>
      </c>
      <c r="C94" s="2">
        <v>18.8</v>
      </c>
      <c r="D94">
        <v>5</v>
      </c>
      <c r="E94" s="2">
        <v>4.9000000000000004</v>
      </c>
      <c r="F94" t="s">
        <v>17</v>
      </c>
      <c r="G94">
        <v>7</v>
      </c>
    </row>
    <row r="95" spans="1:7">
      <c r="A95" t="s">
        <v>111</v>
      </c>
      <c r="B95" t="s">
        <v>4</v>
      </c>
      <c r="C95" s="2">
        <v>17.8</v>
      </c>
      <c r="D95">
        <v>5</v>
      </c>
      <c r="E95" s="2">
        <v>4.2</v>
      </c>
      <c r="F95" t="s">
        <v>17</v>
      </c>
      <c r="G95">
        <v>4</v>
      </c>
    </row>
    <row r="96" spans="1:7">
      <c r="A96" t="s">
        <v>112</v>
      </c>
      <c r="B96" t="s">
        <v>4</v>
      </c>
      <c r="C96" s="2">
        <v>20.7</v>
      </c>
      <c r="D96">
        <v>5</v>
      </c>
      <c r="E96" s="2">
        <v>4.9000000000000004</v>
      </c>
      <c r="F96" t="s">
        <v>19</v>
      </c>
      <c r="G96">
        <v>8</v>
      </c>
    </row>
    <row r="97" spans="1:7">
      <c r="A97" t="s">
        <v>113</v>
      </c>
      <c r="B97" t="s">
        <v>3</v>
      </c>
      <c r="C97" s="2">
        <v>16.600000000000001</v>
      </c>
      <c r="D97">
        <v>5</v>
      </c>
      <c r="E97" s="2">
        <v>3.8</v>
      </c>
      <c r="F97" t="s">
        <v>19</v>
      </c>
      <c r="G97">
        <v>7</v>
      </c>
    </row>
    <row r="98" spans="1:7">
      <c r="A98" t="s">
        <v>114</v>
      </c>
      <c r="B98" t="s">
        <v>3</v>
      </c>
      <c r="C98" s="2">
        <v>15.2</v>
      </c>
      <c r="D98">
        <v>6</v>
      </c>
      <c r="E98" s="2">
        <v>3.4</v>
      </c>
      <c r="F98" t="s">
        <v>19</v>
      </c>
      <c r="G98">
        <v>4</v>
      </c>
    </row>
    <row r="99" spans="1:7">
      <c r="A99" t="s">
        <v>115</v>
      </c>
      <c r="B99" t="s">
        <v>2</v>
      </c>
      <c r="C99" s="2">
        <v>14.1</v>
      </c>
      <c r="D99">
        <v>3</v>
      </c>
      <c r="E99" s="2">
        <v>3.4</v>
      </c>
      <c r="F99" t="s">
        <v>19</v>
      </c>
      <c r="G99">
        <v>5</v>
      </c>
    </row>
    <row r="100" spans="1:7">
      <c r="C100"/>
      <c r="E100"/>
    </row>
    <row r="101" spans="1:7">
      <c r="C101"/>
      <c r="E101"/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200AA-B84C-4F36-ADF9-35785C6725EC}">
  <dimension ref="A1:B13"/>
  <sheetViews>
    <sheetView workbookViewId="0">
      <selection activeCell="I9" sqref="I9"/>
    </sheetView>
  </sheetViews>
  <sheetFormatPr defaultRowHeight="15"/>
  <cols>
    <col min="1" max="1" width="18" bestFit="1" customWidth="1"/>
    <col min="2" max="2" width="25.140625" bestFit="1" customWidth="1"/>
  </cols>
  <sheetData>
    <row r="1" spans="1:2" ht="15.75">
      <c r="A1" s="8" t="s">
        <v>116</v>
      </c>
      <c r="B1" s="8" t="s">
        <v>117</v>
      </c>
    </row>
    <row r="2" spans="1:2">
      <c r="A2" t="s">
        <v>118</v>
      </c>
      <c r="B2">
        <f>COUNTA('Raw Data'!A2:A99)</f>
        <v>98</v>
      </c>
    </row>
    <row r="3" spans="1:2">
      <c r="A3" t="s">
        <v>119</v>
      </c>
      <c r="B3" s="2">
        <f>AVERAGE('Raw Data'!C2:C99)</f>
        <v>15.898958333333335</v>
      </c>
    </row>
    <row r="4" spans="1:2">
      <c r="A4" t="s">
        <v>120</v>
      </c>
      <c r="B4" s="2">
        <f>MAX('Raw Data'!C2:C99)</f>
        <v>20.7</v>
      </c>
    </row>
    <row r="5" spans="1:2">
      <c r="A5" t="s">
        <v>121</v>
      </c>
      <c r="B5" s="2">
        <f>MIN('Raw Data'!C2:C99)</f>
        <v>10.199999999999999</v>
      </c>
    </row>
    <row r="6" spans="1:2">
      <c r="A6" t="s">
        <v>122</v>
      </c>
      <c r="B6" s="2">
        <f>AVERAGE('Raw Data'!E2:E99)</f>
        <v>4.0357142857142847</v>
      </c>
    </row>
    <row r="7" spans="1:2">
      <c r="A7" t="s">
        <v>123</v>
      </c>
      <c r="B7" s="2">
        <f>MAX('Raw Data'!E2:E99)</f>
        <v>5.3</v>
      </c>
    </row>
    <row r="8" spans="1:2">
      <c r="A8" t="s">
        <v>124</v>
      </c>
      <c r="B8" s="2">
        <f>AVERAGE('Raw Data'!D2:D99)</f>
        <v>4.8350515463917523</v>
      </c>
    </row>
    <row r="9" spans="1:2">
      <c r="A9" t="s">
        <v>125</v>
      </c>
      <c r="B9">
        <f>COUNTIF('Raw Data'!F2:F99,"Yes")</f>
        <v>61</v>
      </c>
    </row>
    <row r="10" spans="1:2">
      <c r="A10" t="s">
        <v>126</v>
      </c>
      <c r="B10">
        <f>COUNTIF('Raw Data'!F2:F99,"No")</f>
        <v>37</v>
      </c>
    </row>
    <row r="11" spans="1:2">
      <c r="A11" t="s">
        <v>127</v>
      </c>
      <c r="B11">
        <f>COUNTIF('Raw Data'!B2:B99,"Pig")</f>
        <v>40</v>
      </c>
    </row>
    <row r="12" spans="1:2">
      <c r="A12" t="s">
        <v>128</v>
      </c>
      <c r="B12">
        <f>COUNTIF('Raw Data'!B2:B99,"Poultry")</f>
        <v>31</v>
      </c>
    </row>
    <row r="13" spans="1:2">
      <c r="A13" t="s">
        <v>129</v>
      </c>
      <c r="B13">
        <f>COUNTIF('Raw Data'!B2:B99,"Control")</f>
        <v>27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2026-07-17T16:46:55Z</dcterms:created>
  <dcterms:modified xsi:type="dcterms:W3CDTF">2026-07-20T21:16:12Z</dcterms:modified>
  <cp:category/>
  <cp:contentStatus/>
</cp:coreProperties>
</file>